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hris\Dropbox\BDO FY2023\FY2024\"/>
    </mc:Choice>
  </mc:AlternateContent>
  <xr:revisionPtr revIDLastSave="0" documentId="8_{3C4D2B9C-E6D6-45E0-821E-23DF5C46D6C3}" xr6:coauthVersionLast="47" xr6:coauthVersionMax="47" xr10:uidLastSave="{00000000-0000-0000-0000-000000000000}"/>
  <bookViews>
    <workbookView xWindow="28680" yWindow="-120" windowWidth="29040" windowHeight="15840" tabRatio="500" firstSheet="1" activeTab="1" xr2:uid="{00000000-000D-0000-FFFF-FFFF00000000}"/>
  </bookViews>
  <sheets>
    <sheet name="R&amp;D HL FY22 Ledger" sheetId="4" r:id="rId1"/>
    <sheet name="R&amp;D Detailed (Prod) FY24 Ledger" sheetId="1" r:id="rId2"/>
    <sheet name="R&amp;D Detailed (Batt) FY24 Ledger" sheetId="6" r:id="rId3"/>
    <sheet name="R&amp;D IP Co Batteries FY23 Ledger" sheetId="3" r:id="rId4"/>
  </sheets>
  <externalReferences>
    <externalReference r:id="rId5"/>
  </externalReferences>
  <definedNames>
    <definedName name="_xlnm.Print_Area" localSheetId="2">'R&amp;D Detailed (Batt) FY24 Ledger'!$B$2:$H$38</definedName>
    <definedName name="_xlnm.Print_Area" localSheetId="1">'R&amp;D Detailed (Prod) FY24 Ledger'!$B$2:$H$58</definedName>
    <definedName name="_xlnm.Print_Area" localSheetId="0">'R&amp;D HL FY22 Ledger'!$B$2:$F$30</definedName>
    <definedName name="STARTING_BALANCE" localSheetId="2">'R&amp;D Detailed (Batt) FY24 Ledger'!$H$4</definedName>
    <definedName name="STARTING_BALANCE" localSheetId="0">'R&amp;D HL FY22 Ledger'!$F$4</definedName>
    <definedName name="STARTING_BALANCE">'R&amp;D Detailed (Prod) FY24 Ledger'!$H$4</definedName>
    <definedName name="Type">'[1]Maintenance Work Order'!#REF!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8" i="1" l="1"/>
  <c r="G57" i="1"/>
  <c r="G30" i="1"/>
  <c r="G31" i="1"/>
  <c r="G29" i="1"/>
  <c r="G28" i="1"/>
  <c r="G45" i="1"/>
  <c r="G46" i="1"/>
  <c r="G47" i="1"/>
  <c r="G44" i="1"/>
  <c r="G22" i="1"/>
  <c r="G26" i="1"/>
  <c r="G25" i="1"/>
  <c r="D48" i="1"/>
  <c r="D11" i="4" s="1"/>
  <c r="G54" i="1"/>
  <c r="G33" i="1"/>
  <c r="D36" i="1"/>
  <c r="D10" i="4" s="1"/>
  <c r="F4" i="3"/>
  <c r="G4" i="3" s="1"/>
  <c r="G33" i="3"/>
  <c r="G24" i="3"/>
  <c r="H12" i="1"/>
  <c r="G35" i="1"/>
  <c r="G32" i="1"/>
  <c r="G34" i="1"/>
  <c r="G23" i="1"/>
  <c r="G24" i="1"/>
  <c r="G27" i="1"/>
  <c r="G21" i="1"/>
  <c r="G11" i="6"/>
  <c r="G10" i="6"/>
  <c r="G9" i="6"/>
  <c r="G18" i="6" s="1"/>
  <c r="G20" i="1"/>
  <c r="G19" i="1"/>
  <c r="E21" i="4"/>
  <c r="E23" i="4"/>
  <c r="E27" i="4" s="1"/>
  <c r="G49" i="1"/>
  <c r="G50" i="1"/>
  <c r="G51" i="1"/>
  <c r="G52" i="1"/>
  <c r="G53" i="1"/>
  <c r="G37" i="1"/>
  <c r="G38" i="1"/>
  <c r="G39" i="1"/>
  <c r="G40" i="1"/>
  <c r="G41" i="1"/>
  <c r="G42" i="1"/>
  <c r="G43" i="1"/>
  <c r="G9" i="1"/>
  <c r="G10" i="1"/>
  <c r="G11" i="1"/>
  <c r="G12" i="1"/>
  <c r="G14" i="1"/>
  <c r="G13" i="1"/>
  <c r="G15" i="1"/>
  <c r="G16" i="1"/>
  <c r="G17" i="1"/>
  <c r="G18" i="1"/>
  <c r="E30" i="4"/>
  <c r="D12" i="4"/>
  <c r="G55" i="1" l="1"/>
  <c r="G48" i="1"/>
  <c r="E11" i="4" s="1"/>
  <c r="G36" i="1"/>
  <c r="E10" i="4" s="1"/>
  <c r="H4" i="6"/>
  <c r="E12" i="4" l="1"/>
  <c r="E14" i="4" s="1"/>
  <c r="F4" i="4" s="1"/>
  <c r="XFD55" i="1"/>
  <c r="H4" i="1"/>
  <c r="J4" i="1" s="1"/>
</calcChain>
</file>

<file path=xl/sharedStrings.xml><?xml version="1.0" encoding="utf-8"?>
<sst xmlns="http://schemas.openxmlformats.org/spreadsheetml/2006/main" count="156" uniqueCount="116">
  <si>
    <t>Ride Electric Wholesale</t>
  </si>
  <si>
    <t>Date.</t>
  </si>
  <si>
    <t>Financial Year 2022 - Total R&amp;D Expenditure</t>
  </si>
  <si>
    <t>Total R&amp;D Spend FY22</t>
  </si>
  <si>
    <t>Capital Expenditure</t>
  </si>
  <si>
    <t>ID#</t>
  </si>
  <si>
    <t>DESCRIPTION</t>
  </si>
  <si>
    <t>Quantity</t>
  </si>
  <si>
    <t>Total Cost.</t>
  </si>
  <si>
    <t>R&amp;D-Prod</t>
  </si>
  <si>
    <t>Smartmotion Electric Bike's (R&amp;D Bikes)</t>
  </si>
  <si>
    <t>VSETT Electric Scooters (R&amp;D Scooters)</t>
  </si>
  <si>
    <t>ZERO Electric Scooters (R&amp;D Scooters)</t>
  </si>
  <si>
    <t>Total</t>
  </si>
  <si>
    <t>R&amp;D-EquipTool</t>
  </si>
  <si>
    <t>Glitter Spot Welder</t>
  </si>
  <si>
    <t>Lab Bench Power Supply</t>
  </si>
  <si>
    <t>Battery Tester</t>
  </si>
  <si>
    <t>R&amp;D-EquiptComp</t>
  </si>
  <si>
    <t>Lithium Ir Battery Cells - 18650</t>
  </si>
  <si>
    <t xml:space="preserve"> </t>
  </si>
  <si>
    <t>Lithium Ir Battery Cells - 21700</t>
  </si>
  <si>
    <t>Electrical Componentry (Nickel, Wiring, Caps, ICU's)</t>
  </si>
  <si>
    <t>N/A</t>
  </si>
  <si>
    <t>BMS</t>
  </si>
  <si>
    <t>Pricing is at cost only from EBD, Invoiced at arrival.</t>
  </si>
  <si>
    <t>Total PEV Spend.</t>
  </si>
  <si>
    <t>Cost Per Unit.</t>
  </si>
  <si>
    <t>CREDIT'S</t>
  </si>
  <si>
    <t>Smartmotion XCity MED 27.5" WHL</t>
  </si>
  <si>
    <t>Smartmotion Pacer GT 36V 14.5Ah White Large</t>
  </si>
  <si>
    <t>Smartmotion Essence  MED 26" WHL</t>
  </si>
  <si>
    <t>Smartmotion E20 Step Thru</t>
  </si>
  <si>
    <t>Smartmotion G3 EUrban MED 26" WHL</t>
  </si>
  <si>
    <t>Smartmotion G3 ECity  MED 26" WHL</t>
  </si>
  <si>
    <t>Smartmotion Pacer 250W 48V</t>
  </si>
  <si>
    <t>Smartmotion Catalyst 250W 48V</t>
  </si>
  <si>
    <t>Smartmotion MidCity SML 24" WHL</t>
  </si>
  <si>
    <t>Smartmotion Hypersonic Neo</t>
  </si>
  <si>
    <t>Smartmotion Xcity Neo</t>
  </si>
  <si>
    <t>Smartmotion Xurban Neo</t>
  </si>
  <si>
    <t>Smartmotion Hypersonic Ultra</t>
  </si>
  <si>
    <t>F20</t>
  </si>
  <si>
    <t>Explore Pro</t>
  </si>
  <si>
    <t>Explore Performance</t>
  </si>
  <si>
    <t>Total Smartmotion Bikes</t>
  </si>
  <si>
    <t>Total cost for SM Bikes</t>
  </si>
  <si>
    <t>VSETT 11+ SUPER Electric Scooter /72V 35LG</t>
  </si>
  <si>
    <t>VSETT 11+ Electric Scooter</t>
  </si>
  <si>
    <t>VSETT 10+ Electric Scooter</t>
  </si>
  <si>
    <t>VSETT 9+ Electric Scooter</t>
  </si>
  <si>
    <t>VSETT 9 Electric Scooter</t>
  </si>
  <si>
    <t>VSETT 8+ Electric Scooter</t>
  </si>
  <si>
    <t>VSETT 8 Electric Scooter</t>
  </si>
  <si>
    <t>Total VSETT Scooters</t>
  </si>
  <si>
    <t>Total for VSETT Scooters</t>
  </si>
  <si>
    <t>ZERO 11X Electric Scooter</t>
  </si>
  <si>
    <t>ZERO 10X Electric Scooter</t>
  </si>
  <si>
    <t>ZERO 9 Electric Scooter</t>
  </si>
  <si>
    <t>ZERO 8x Electric Scooter</t>
  </si>
  <si>
    <t>ZERO 8 Electric Scooter</t>
  </si>
  <si>
    <t>Total ZERO Scooters</t>
  </si>
  <si>
    <t>Total for ZERO Scooters</t>
  </si>
  <si>
    <t>Total Battery Spend.</t>
  </si>
  <si>
    <t>ID# - Li-on</t>
  </si>
  <si>
    <t>LG 18650 - INR N1 - 3500mah</t>
  </si>
  <si>
    <t>SAMSUNG - 35E 3500mAh 10A</t>
  </si>
  <si>
    <t>LG 21700 5000mAH</t>
  </si>
  <si>
    <t>Ride Electric Wholesale  - R&amp;D Ledger FY2024</t>
  </si>
  <si>
    <t>Total cost for Batteries</t>
  </si>
  <si>
    <t xml:space="preserve">Pricing is at cost only </t>
  </si>
  <si>
    <t>Total Battery Comp Spend.</t>
  </si>
  <si>
    <t>Price in AUD</t>
  </si>
  <si>
    <t>DESCRIPTION (SMALL FORM CELLS Li-io)</t>
  </si>
  <si>
    <t>Cost Per Unit AUD</t>
  </si>
  <si>
    <t>R&amp;D-BATT-LF</t>
  </si>
  <si>
    <t>SAMSUNG INR18650-35E</t>
  </si>
  <si>
    <t>LG INR18650 MH1</t>
  </si>
  <si>
    <t>LG INR21700 M50LT</t>
  </si>
  <si>
    <t>DESCRIPTION (LARGE FORM CELLS LifeP04)</t>
  </si>
  <si>
    <t>Total Cost AUD</t>
  </si>
  <si>
    <t>EVE LF280Ah LiFePO04 Prismatic</t>
  </si>
  <si>
    <t>EVE LF302Ah LiFePO04 Prismatic</t>
  </si>
  <si>
    <t>EVE LF320 LiFePO04 Prismatic</t>
  </si>
  <si>
    <t>Financial Year 2024 - Total R&amp;D Expenditure</t>
  </si>
  <si>
    <t>CATL LiFeP04 204Ah</t>
  </si>
  <si>
    <t>CATL LiFeP04 310Ah</t>
  </si>
  <si>
    <t>CATL LiFeP04 228Ah</t>
  </si>
  <si>
    <t>DESCRIPTION (Electrical Comp)</t>
  </si>
  <si>
    <t>Tektronix MSO2024B 200 MHz 4+16-Ch 1 GS/s Mixed Signal Oscilloscope</t>
  </si>
  <si>
    <t>Rack Mount 1000V 1200W Laboratory Adjustable Switching Programmable DC High Voltage Power Supply</t>
  </si>
  <si>
    <t>Granbo Ultrasonic Cleaner 30L 900W Power Adjustable Stainless Ultrasound Bath Electronic Parts PCB Engine Gear Lab Solution</t>
  </si>
  <si>
    <t>20KW Pure Sine Wave Solar Hybrid inverter 192VDC TO 220V 110VAC 20000W With MPPT Controller Charging Power Inverter Rotatable</t>
  </si>
  <si>
    <t>MakerPi Industrial 3D Printer Large Printing Fully Closed Machine Size 310*310*450mm High Temperature For PLA /ABS Filament</t>
  </si>
  <si>
    <t>DC LV-HV Buck Converter (50,60,70,80,90,110) -&gt; (330v)</t>
  </si>
  <si>
    <t>FatFish Dual Suspension</t>
  </si>
  <si>
    <t>FatFish Step thr</t>
  </si>
  <si>
    <t>Smartmotion Renegade</t>
  </si>
  <si>
    <t>VSETT 10 Light</t>
  </si>
  <si>
    <t>VSETT Apex 8</t>
  </si>
  <si>
    <t>VSETT Apex 9</t>
  </si>
  <si>
    <t>VSETT Apex 10</t>
  </si>
  <si>
    <t>battery built into frame - 8</t>
  </si>
  <si>
    <t>Fatfish</t>
  </si>
  <si>
    <t>Fatfish X</t>
  </si>
  <si>
    <t>Excapade</t>
  </si>
  <si>
    <t>Excapade Base</t>
  </si>
  <si>
    <t>ZERO 8+ Electric Scooter (New)</t>
  </si>
  <si>
    <t>Mid Drive</t>
  </si>
  <si>
    <t>Fatfish Freeweel Trike</t>
  </si>
  <si>
    <t>Smartmotion Cargo</t>
  </si>
  <si>
    <t>RE Battery Bags</t>
  </si>
  <si>
    <t>Blankets</t>
  </si>
  <si>
    <t>Heat Sensor Gun</t>
  </si>
  <si>
    <t>Smartmotion Trike Hub Drive</t>
  </si>
  <si>
    <t>Ride Electric IP Co PTY LTD  - R&amp;D Running Ledger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</si>
</sst>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mm/dd/yyyy"/>
    <numFmt numFmtId="166" formatCode="_-&quot;$&quot;* #,##0.000_-;\-&quot;$&quot;* #,##0.000_-;_-&quot;$&quot;* &quot;-&quot;???_-;_-@_-"/>
    <numFmt numFmtId="167" formatCode="&quot;$&quot;#,##0.00"/>
  </numFmts>
  <fonts count="47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20"/>
      <color theme="0" tint="-0.34998626667073579"/>
      <name val="Century Gothic"/>
      <family val="1"/>
    </font>
    <font>
      <sz val="11"/>
      <color theme="1"/>
      <name val="Century Gothic"/>
      <family val="1"/>
    </font>
    <font>
      <sz val="11"/>
      <color theme="1"/>
      <name val="Calibri"/>
      <family val="2"/>
    </font>
    <font>
      <sz val="10"/>
      <color theme="1"/>
      <name val="Century Gothic"/>
      <family val="1"/>
    </font>
    <font>
      <b/>
      <sz val="11"/>
      <color theme="3"/>
      <name val="Century Gothic"/>
      <family val="1"/>
    </font>
    <font>
      <b/>
      <sz val="12"/>
      <color theme="3"/>
      <name val="Century Gothic"/>
      <family val="1"/>
    </font>
    <font>
      <b/>
      <sz val="9"/>
      <color theme="3"/>
      <name val="Century Gothic"/>
      <family val="1"/>
    </font>
    <font>
      <sz val="10"/>
      <name val="Arial"/>
      <family val="2"/>
    </font>
    <font>
      <sz val="10"/>
      <name val="Arial"/>
      <family val="2"/>
    </font>
    <font>
      <b/>
      <sz val="10"/>
      <color theme="0"/>
      <name val="Century Gothic"/>
      <family val="1"/>
    </font>
    <font>
      <b/>
      <sz val="20"/>
      <color theme="0" tint="-0.499984740745262"/>
      <name val="Century Gothic"/>
      <family val="1"/>
    </font>
    <font>
      <b/>
      <sz val="10"/>
      <color rgb="FFFFFFFF"/>
      <name val="Century Gothic"/>
      <family val="1"/>
    </font>
    <font>
      <b/>
      <sz val="9"/>
      <color theme="1"/>
      <name val="Century Gothic"/>
      <family val="1"/>
    </font>
    <font>
      <b/>
      <sz val="11"/>
      <color theme="1"/>
      <name val="Century Gothic"/>
      <family val="1"/>
    </font>
    <font>
      <sz val="9"/>
      <color theme="1"/>
      <name val="Century Gothic"/>
      <family val="1"/>
    </font>
    <font>
      <sz val="10"/>
      <color rgb="FFC00000"/>
      <name val="Century Gothic"/>
      <family val="1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22"/>
      <color theme="0"/>
      <name val="Century Gothic Bold"/>
    </font>
    <font>
      <b/>
      <sz val="22"/>
      <color theme="1"/>
      <name val="Century Gothic"/>
      <family val="1"/>
    </font>
    <font>
      <b/>
      <i/>
      <sz val="16"/>
      <color theme="3"/>
      <name val="Century Gothic"/>
      <family val="2"/>
    </font>
    <font>
      <b/>
      <sz val="10"/>
      <color theme="0"/>
      <name val="Century Gothic"/>
      <family val="2"/>
    </font>
    <font>
      <b/>
      <i/>
      <sz val="10"/>
      <color theme="0"/>
      <name val="Century Gothic"/>
      <family val="2"/>
    </font>
    <font>
      <b/>
      <sz val="12"/>
      <color theme="1"/>
      <name val="Century Gothic"/>
      <family val="2"/>
    </font>
    <font>
      <b/>
      <sz val="10"/>
      <color rgb="FFFFFFFF"/>
      <name val="Century Gothic"/>
      <family val="2"/>
    </font>
    <font>
      <sz val="12"/>
      <color rgb="FF000000"/>
      <name val="Century Gothic"/>
      <family val="1"/>
    </font>
    <font>
      <sz val="11"/>
      <color rgb="FF000000"/>
      <name val="Calibri"/>
      <family val="2"/>
      <scheme val="minor"/>
    </font>
    <font>
      <b/>
      <sz val="22"/>
      <color rgb="FF000000"/>
      <name val="Century Gothic"/>
      <family val="1"/>
    </font>
    <font>
      <b/>
      <sz val="20"/>
      <color rgb="FF808080"/>
      <name val="Century Gothic"/>
      <family val="1"/>
    </font>
    <font>
      <b/>
      <sz val="20"/>
      <color rgb="FFA6A6A6"/>
      <name val="Century Gothic"/>
      <family val="1"/>
    </font>
    <font>
      <sz val="11"/>
      <color rgb="FF000000"/>
      <name val="Century Gothic"/>
      <family val="1"/>
    </font>
    <font>
      <sz val="10"/>
      <color rgb="FF000000"/>
      <name val="Century Gothic"/>
      <family val="1"/>
    </font>
    <font>
      <sz val="12"/>
      <color rgb="FF000000"/>
      <name val="Calibri"/>
      <family val="2"/>
      <scheme val="minor"/>
    </font>
    <font>
      <b/>
      <sz val="11"/>
      <color rgb="FF000000"/>
      <name val="Century Gothic"/>
      <family val="1"/>
    </font>
    <font>
      <b/>
      <sz val="11"/>
      <color rgb="FF44546A"/>
      <name val="Century Gothic"/>
      <family val="1"/>
    </font>
    <font>
      <b/>
      <sz val="9"/>
      <color rgb="FF000000"/>
      <name val="Century Gothic"/>
      <family val="1"/>
    </font>
    <font>
      <b/>
      <sz val="9"/>
      <color rgb="FF44546A"/>
      <name val="Century Gothic"/>
      <family val="1"/>
    </font>
    <font>
      <b/>
      <sz val="12"/>
      <color rgb="FF44546A"/>
      <name val="Century Gothic"/>
      <family val="1"/>
    </font>
    <font>
      <b/>
      <i/>
      <sz val="10"/>
      <color rgb="FFFFFFFF"/>
      <name val="Century Gothic"/>
      <family val="2"/>
    </font>
    <font>
      <b/>
      <sz val="10"/>
      <color rgb="FFFFFFFF"/>
      <name val="Century Gothic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entury Gothic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rgb="FFEAEEF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0.34998626667073579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E98F"/>
        <bgColor indexed="64"/>
      </patternFill>
    </fill>
    <fill>
      <patternFill patternType="solid">
        <fgColor rgb="FFFF9D9B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222B35"/>
        <bgColor rgb="FF000000"/>
      </patternFill>
    </fill>
    <fill>
      <patternFill patternType="solid">
        <fgColor rgb="FFEAEEF3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2" tint="-0.499984740745262"/>
        <bgColor rgb="FF000000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/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hair">
        <color rgb="FFBFBFBF"/>
      </left>
      <right/>
      <top/>
      <bottom style="hair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 style="medium">
        <color rgb="FFFFFFF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7">
    <xf numFmtId="0" fontId="0" fillId="0" borderId="0"/>
    <xf numFmtId="0" fontId="2" fillId="0" borderId="0"/>
    <xf numFmtId="0" fontId="11" fillId="0" borderId="0"/>
    <xf numFmtId="0" fontId="12" fillId="2" borderId="2" applyNumberFormat="0" applyFont="0" applyAlignment="0" applyProtection="0"/>
    <xf numFmtId="0" fontId="20" fillId="0" borderId="0" applyNumberFormat="0" applyFill="0" applyBorder="0" applyAlignment="0" applyProtection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1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/>
    <xf numFmtId="0" fontId="14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7" fillId="3" borderId="3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13" fillId="4" borderId="1" xfId="0" applyFont="1" applyFill="1" applyBorder="1" applyAlignment="1">
      <alignment horizontal="left" vertical="center" wrapText="1" indent="1"/>
    </xf>
    <xf numFmtId="0" fontId="15" fillId="5" borderId="1" xfId="0" applyFont="1" applyFill="1" applyBorder="1" applyAlignment="1">
      <alignment horizontal="left" vertical="center" wrapText="1" indent="1"/>
    </xf>
    <xf numFmtId="165" fontId="7" fillId="0" borderId="1" xfId="0" applyNumberFormat="1" applyFont="1" applyBorder="1" applyAlignment="1">
      <alignment horizontal="left" vertical="center" wrapText="1" indent="1"/>
    </xf>
    <xf numFmtId="0" fontId="10" fillId="0" borderId="5" xfId="0" applyFont="1" applyBorder="1" applyAlignment="1">
      <alignment horizontal="left" wrapText="1" indent="1"/>
    </xf>
    <xf numFmtId="0" fontId="10" fillId="0" borderId="0" xfId="0" applyFont="1" applyAlignment="1">
      <alignment horizontal="left" wrapText="1" inden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right" vertical="center" indent="1"/>
    </xf>
    <xf numFmtId="0" fontId="18" fillId="0" borderId="0" xfId="0" applyFont="1" applyAlignment="1">
      <alignment horizontal="right" vertical="center"/>
    </xf>
    <xf numFmtId="165" fontId="7" fillId="6" borderId="1" xfId="0" applyNumberFormat="1" applyFont="1" applyFill="1" applyBorder="1" applyAlignment="1">
      <alignment horizontal="left" vertical="center" wrapText="1" indent="1"/>
    </xf>
    <xf numFmtId="0" fontId="7" fillId="6" borderId="1" xfId="0" applyFont="1" applyFill="1" applyBorder="1" applyAlignment="1">
      <alignment horizontal="left" vertical="center" wrapText="1" indent="1"/>
    </xf>
    <xf numFmtId="164" fontId="7" fillId="6" borderId="1" xfId="0" applyNumberFormat="1" applyFont="1" applyFill="1" applyBorder="1" applyAlignment="1">
      <alignment horizontal="left" vertical="center" wrapText="1" indent="1"/>
    </xf>
    <xf numFmtId="0" fontId="13" fillId="9" borderId="1" xfId="0" applyFont="1" applyFill="1" applyBorder="1" applyAlignment="1">
      <alignment horizontal="left" vertical="center" wrapText="1" indent="1"/>
    </xf>
    <xf numFmtId="164" fontId="19" fillId="3" borderId="1" xfId="5" applyFont="1" applyFill="1" applyBorder="1" applyAlignment="1">
      <alignment horizontal="left" vertical="center" wrapText="1"/>
    </xf>
    <xf numFmtId="164" fontId="7" fillId="3" borderId="1" xfId="5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 vertical="center" indent="1"/>
    </xf>
    <xf numFmtId="0" fontId="23" fillId="0" borderId="0" xfId="0" applyFont="1" applyAlignment="1">
      <alignment vertical="center"/>
    </xf>
    <xf numFmtId="4" fontId="7" fillId="6" borderId="1" xfId="0" applyNumberFormat="1" applyFont="1" applyFill="1" applyBorder="1" applyAlignment="1">
      <alignment horizontal="left" vertical="center" wrapText="1" indent="1"/>
    </xf>
    <xf numFmtId="4" fontId="7" fillId="0" borderId="1" xfId="0" applyNumberFormat="1" applyFont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indent="1"/>
    </xf>
    <xf numFmtId="0" fontId="9" fillId="10" borderId="0" xfId="0" applyFont="1" applyFill="1" applyAlignment="1">
      <alignment vertical="center"/>
    </xf>
    <xf numFmtId="0" fontId="10" fillId="10" borderId="0" xfId="0" applyFont="1" applyFill="1" applyAlignment="1">
      <alignment horizontal="left" wrapText="1" indent="1"/>
    </xf>
    <xf numFmtId="0" fontId="10" fillId="10" borderId="5" xfId="0" applyFont="1" applyFill="1" applyBorder="1" applyAlignment="1">
      <alignment horizontal="left" wrapText="1" indent="1"/>
    </xf>
    <xf numFmtId="0" fontId="1" fillId="10" borderId="0" xfId="0" applyFont="1" applyFill="1"/>
    <xf numFmtId="0" fontId="24" fillId="10" borderId="0" xfId="0" applyFont="1" applyFill="1" applyAlignment="1">
      <alignment vertical="center"/>
    </xf>
    <xf numFmtId="165" fontId="7" fillId="11" borderId="1" xfId="0" applyNumberFormat="1" applyFont="1" applyFill="1" applyBorder="1" applyAlignment="1">
      <alignment horizontal="left" vertical="center" wrapText="1" indent="1"/>
    </xf>
    <xf numFmtId="0" fontId="7" fillId="11" borderId="1" xfId="0" applyFont="1" applyFill="1" applyBorder="1" applyAlignment="1">
      <alignment horizontal="left" vertical="center" wrapText="1" indent="1"/>
    </xf>
    <xf numFmtId="4" fontId="7" fillId="11" borderId="1" xfId="0" applyNumberFormat="1" applyFont="1" applyFill="1" applyBorder="1" applyAlignment="1">
      <alignment horizontal="left" vertical="center" wrapText="1" indent="1"/>
    </xf>
    <xf numFmtId="164" fontId="7" fillId="11" borderId="1" xfId="0" applyNumberFormat="1" applyFont="1" applyFill="1" applyBorder="1" applyAlignment="1">
      <alignment horizontal="center" vertical="center" wrapText="1"/>
    </xf>
    <xf numFmtId="165" fontId="7" fillId="12" borderId="1" xfId="0" applyNumberFormat="1" applyFont="1" applyFill="1" applyBorder="1" applyAlignment="1">
      <alignment horizontal="left" vertical="center" wrapText="1" indent="1"/>
    </xf>
    <xf numFmtId="0" fontId="7" fillId="12" borderId="1" xfId="0" applyFont="1" applyFill="1" applyBorder="1" applyAlignment="1">
      <alignment horizontal="left" vertical="center" wrapText="1" indent="1"/>
    </xf>
    <xf numFmtId="164" fontId="19" fillId="12" borderId="1" xfId="5" applyFont="1" applyFill="1" applyBorder="1" applyAlignment="1">
      <alignment horizontal="left" vertical="center" wrapText="1"/>
    </xf>
    <xf numFmtId="164" fontId="7" fillId="12" borderId="1" xfId="5" applyFont="1" applyFill="1" applyBorder="1" applyAlignment="1">
      <alignment horizontal="left" vertical="center" wrapText="1"/>
    </xf>
    <xf numFmtId="165" fontId="7" fillId="13" borderId="1" xfId="0" applyNumberFormat="1" applyFont="1" applyFill="1" applyBorder="1" applyAlignment="1">
      <alignment horizontal="left" vertical="center" wrapText="1" indent="1"/>
    </xf>
    <xf numFmtId="0" fontId="7" fillId="13" borderId="1" xfId="0" applyFont="1" applyFill="1" applyBorder="1" applyAlignment="1">
      <alignment horizontal="left" vertical="center" wrapText="1" indent="1"/>
    </xf>
    <xf numFmtId="164" fontId="19" fillId="13" borderId="1" xfId="5" applyFont="1" applyFill="1" applyBorder="1" applyAlignment="1">
      <alignment horizontal="left" vertical="center" wrapText="1"/>
    </xf>
    <xf numFmtId="164" fontId="7" fillId="13" borderId="1" xfId="5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horizontal="left" vertical="center" wrapText="1" indent="1"/>
    </xf>
    <xf numFmtId="164" fontId="19" fillId="4" borderId="1" xfId="5" applyFont="1" applyFill="1" applyBorder="1" applyAlignment="1">
      <alignment horizontal="left" vertical="center" wrapText="1"/>
    </xf>
    <xf numFmtId="164" fontId="26" fillId="4" borderId="1" xfId="5" applyFont="1" applyFill="1" applyBorder="1" applyAlignment="1">
      <alignment horizontal="left" vertical="center" wrapText="1"/>
    </xf>
    <xf numFmtId="165" fontId="7" fillId="14" borderId="1" xfId="0" applyNumberFormat="1" applyFont="1" applyFill="1" applyBorder="1" applyAlignment="1">
      <alignment horizontal="left" vertical="center" wrapText="1" indent="1"/>
    </xf>
    <xf numFmtId="0" fontId="7" fillId="14" borderId="1" xfId="0" applyFont="1" applyFill="1" applyBorder="1" applyAlignment="1">
      <alignment horizontal="left" vertical="center" wrapText="1" indent="1"/>
    </xf>
    <xf numFmtId="164" fontId="19" fillId="14" borderId="1" xfId="5" applyFont="1" applyFill="1" applyBorder="1" applyAlignment="1">
      <alignment horizontal="left" vertical="center" wrapText="1"/>
    </xf>
    <xf numFmtId="164" fontId="7" fillId="14" borderId="1" xfId="5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 indent="1"/>
    </xf>
    <xf numFmtId="165" fontId="7" fillId="14" borderId="9" xfId="0" applyNumberFormat="1" applyFont="1" applyFill="1" applyBorder="1" applyAlignment="1">
      <alignment horizontal="left" vertical="center" wrapText="1" indent="1"/>
    </xf>
    <xf numFmtId="0" fontId="7" fillId="14" borderId="9" xfId="0" applyFont="1" applyFill="1" applyBorder="1" applyAlignment="1">
      <alignment horizontal="left" vertical="center" wrapText="1" indent="1"/>
    </xf>
    <xf numFmtId="164" fontId="19" fillId="14" borderId="9" xfId="5" applyFont="1" applyFill="1" applyBorder="1" applyAlignment="1">
      <alignment horizontal="left" vertical="center" wrapText="1"/>
    </xf>
    <xf numFmtId="164" fontId="7" fillId="14" borderId="9" xfId="5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 indent="1"/>
    </xf>
    <xf numFmtId="164" fontId="19" fillId="3" borderId="0" xfId="5" applyFont="1" applyFill="1" applyBorder="1" applyAlignment="1">
      <alignment horizontal="left" vertical="center" wrapText="1"/>
    </xf>
    <xf numFmtId="164" fontId="7" fillId="3" borderId="0" xfId="5" applyFont="1" applyFill="1" applyBorder="1" applyAlignment="1">
      <alignment horizontal="left" vertical="center" wrapText="1"/>
    </xf>
    <xf numFmtId="164" fontId="7" fillId="3" borderId="0" xfId="0" applyNumberFormat="1" applyFont="1" applyFill="1" applyAlignment="1">
      <alignment horizontal="center" vertical="center" wrapText="1"/>
    </xf>
    <xf numFmtId="165" fontId="7" fillId="3" borderId="0" xfId="0" applyNumberFormat="1" applyFont="1" applyFill="1" applyAlignment="1">
      <alignment horizontal="left" vertical="center" wrapText="1" indent="1"/>
    </xf>
    <xf numFmtId="164" fontId="7" fillId="3" borderId="0" xfId="0" applyNumberFormat="1" applyFont="1" applyFill="1" applyAlignment="1">
      <alignment horizontal="left" vertical="center" wrapText="1" indent="1"/>
    </xf>
    <xf numFmtId="0" fontId="13" fillId="3" borderId="0" xfId="0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 wrapText="1"/>
    </xf>
    <xf numFmtId="0" fontId="13" fillId="7" borderId="9" xfId="0" applyFont="1" applyFill="1" applyBorder="1" applyAlignment="1">
      <alignment horizontal="center" vertical="center"/>
    </xf>
    <xf numFmtId="164" fontId="17" fillId="6" borderId="11" xfId="0" applyNumberFormat="1" applyFont="1" applyFill="1" applyBorder="1" applyAlignment="1">
      <alignment vertical="center"/>
    </xf>
    <xf numFmtId="0" fontId="15" fillId="8" borderId="8" xfId="0" applyFont="1" applyFill="1" applyBorder="1" applyAlignment="1">
      <alignment horizontal="left" vertical="center" wrapText="1" indent="1"/>
    </xf>
    <xf numFmtId="164" fontId="7" fillId="12" borderId="8" xfId="0" applyNumberFormat="1" applyFont="1" applyFill="1" applyBorder="1" applyAlignment="1">
      <alignment horizontal="center" vertical="center" wrapText="1"/>
    </xf>
    <xf numFmtId="164" fontId="7" fillId="3" borderId="8" xfId="0" applyNumberFormat="1" applyFont="1" applyFill="1" applyBorder="1" applyAlignment="1">
      <alignment horizontal="center" vertical="center" wrapText="1"/>
    </xf>
    <xf numFmtId="164" fontId="25" fillId="4" borderId="8" xfId="0" applyNumberFormat="1" applyFont="1" applyFill="1" applyBorder="1" applyAlignment="1">
      <alignment horizontal="center" vertical="center" wrapText="1"/>
    </xf>
    <xf numFmtId="164" fontId="7" fillId="13" borderId="8" xfId="0" applyNumberFormat="1" applyFont="1" applyFill="1" applyBorder="1" applyAlignment="1">
      <alignment horizontal="center" vertical="center" wrapText="1"/>
    </xf>
    <xf numFmtId="164" fontId="7" fillId="14" borderId="8" xfId="0" applyNumberFormat="1" applyFont="1" applyFill="1" applyBorder="1" applyAlignment="1">
      <alignment horizontal="center" vertical="center" wrapText="1"/>
    </xf>
    <xf numFmtId="164" fontId="7" fillId="14" borderId="10" xfId="0" applyNumberFormat="1" applyFont="1" applyFill="1" applyBorder="1" applyAlignment="1">
      <alignment horizontal="center" vertical="center" wrapText="1"/>
    </xf>
    <xf numFmtId="0" fontId="15" fillId="15" borderId="0" xfId="0" applyFont="1" applyFill="1" applyAlignment="1">
      <alignment horizontal="left" vertical="center" wrapText="1" indent="1"/>
    </xf>
    <xf numFmtId="0" fontId="26" fillId="4" borderId="8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 indent="1"/>
    </xf>
    <xf numFmtId="164" fontId="7" fillId="16" borderId="0" xfId="0" applyNumberFormat="1" applyFont="1" applyFill="1" applyAlignment="1">
      <alignment horizontal="left" vertical="center" wrapText="1" indent="1"/>
    </xf>
    <xf numFmtId="166" fontId="1" fillId="0" borderId="0" xfId="0" applyNumberFormat="1" applyFont="1"/>
    <xf numFmtId="4" fontId="7" fillId="0" borderId="1" xfId="0" applyNumberFormat="1" applyFont="1" applyBorder="1" applyAlignment="1">
      <alignment horizontal="center" vertical="center" wrapText="1"/>
    </xf>
    <xf numFmtId="4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167" fontId="7" fillId="6" borderId="1" xfId="0" applyNumberFormat="1" applyFont="1" applyFill="1" applyBorder="1" applyAlignment="1">
      <alignment horizontal="center" vertical="center" wrapText="1"/>
    </xf>
    <xf numFmtId="167" fontId="7" fillId="3" borderId="1" xfId="0" applyNumberFormat="1" applyFont="1" applyFill="1" applyBorder="1" applyAlignment="1">
      <alignment horizontal="center" vertical="center" wrapText="1"/>
    </xf>
    <xf numFmtId="167" fontId="7" fillId="11" borderId="1" xfId="0" applyNumberFormat="1" applyFont="1" applyFill="1" applyBorder="1" applyAlignment="1">
      <alignment horizontal="center" vertical="center" wrapText="1"/>
    </xf>
    <xf numFmtId="167" fontId="7" fillId="6" borderId="1" xfId="0" applyNumberFormat="1" applyFont="1" applyFill="1" applyBorder="1" applyAlignment="1">
      <alignment horizontal="center" wrapText="1"/>
    </xf>
    <xf numFmtId="0" fontId="15" fillId="8" borderId="1" xfId="0" applyFont="1" applyFill="1" applyBorder="1" applyAlignment="1">
      <alignment horizontal="center" vertical="center" wrapText="1"/>
    </xf>
    <xf numFmtId="167" fontId="1" fillId="0" borderId="0" xfId="0" applyNumberFormat="1" applyFont="1"/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7" fontId="27" fillId="11" borderId="1" xfId="0" applyNumberFormat="1" applyFont="1" applyFill="1" applyBorder="1" applyAlignment="1">
      <alignment horizontal="center" vertical="center" wrapText="1"/>
    </xf>
    <xf numFmtId="4" fontId="27" fillId="11" borderId="1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 indent="1"/>
    </xf>
    <xf numFmtId="164" fontId="25" fillId="4" borderId="0" xfId="0" applyNumberFormat="1" applyFont="1" applyFill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8" fillId="8" borderId="8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horizontal="left" vertical="center" wrapText="1" indent="1"/>
    </xf>
    <xf numFmtId="164" fontId="19" fillId="0" borderId="1" xfId="5" applyFont="1" applyFill="1" applyBorder="1" applyAlignment="1">
      <alignment horizontal="left" vertical="center" wrapText="1"/>
    </xf>
    <xf numFmtId="164" fontId="7" fillId="0" borderId="1" xfId="5" applyFont="1" applyFill="1" applyBorder="1" applyAlignment="1">
      <alignment horizontal="left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29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horizontal="left" vertical="center" indent="1"/>
    </xf>
    <xf numFmtId="0" fontId="15" fillId="17" borderId="14" xfId="0" applyFont="1" applyFill="1" applyBorder="1" applyAlignment="1">
      <alignment horizontal="center" vertical="center"/>
    </xf>
    <xf numFmtId="0" fontId="35" fillId="0" borderId="0" xfId="0" applyFont="1"/>
    <xf numFmtId="8" fontId="37" fillId="18" borderId="11" xfId="0" applyNumberFormat="1" applyFont="1" applyFill="1" applyBorder="1" applyAlignment="1">
      <alignment vertical="center"/>
    </xf>
    <xf numFmtId="8" fontId="29" fillId="0" borderId="0" xfId="0" applyNumberFormat="1" applyFont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right" vertical="center" indent="1"/>
    </xf>
    <xf numFmtId="0" fontId="35" fillId="0" borderId="15" xfId="0" applyFont="1" applyBorder="1" applyAlignment="1">
      <alignment horizontal="left" vertical="center" indent="1"/>
    </xf>
    <xf numFmtId="0" fontId="29" fillId="0" borderId="16" xfId="0" applyFont="1" applyBorder="1" applyAlignment="1">
      <alignment horizontal="center"/>
    </xf>
    <xf numFmtId="0" fontId="38" fillId="0" borderId="0" xfId="0" applyFont="1"/>
    <xf numFmtId="0" fontId="40" fillId="0" borderId="0" xfId="0" applyFont="1" applyAlignment="1">
      <alignment horizontal="left" wrapText="1" indent="1"/>
    </xf>
    <xf numFmtId="0" fontId="40" fillId="0" borderId="17" xfId="0" applyFont="1" applyBorder="1" applyAlignment="1">
      <alignment horizontal="center" wrapText="1"/>
    </xf>
    <xf numFmtId="0" fontId="41" fillId="0" borderId="0" xfId="0" applyFont="1" applyAlignment="1">
      <alignment horizontal="center" vertical="center"/>
    </xf>
    <xf numFmtId="0" fontId="35" fillId="19" borderId="18" xfId="0" applyFont="1" applyFill="1" applyBorder="1" applyAlignment="1">
      <alignment horizontal="left" vertical="center" wrapText="1" indent="1"/>
    </xf>
    <xf numFmtId="0" fontId="35" fillId="19" borderId="18" xfId="0" applyFont="1" applyFill="1" applyBorder="1" applyAlignment="1">
      <alignment horizontal="center" vertical="center" wrapText="1"/>
    </xf>
    <xf numFmtId="8" fontId="19" fillId="19" borderId="18" xfId="0" applyNumberFormat="1" applyFont="1" applyFill="1" applyBorder="1" applyAlignment="1">
      <alignment horizontal="center" vertical="center" wrapText="1"/>
    </xf>
    <xf numFmtId="8" fontId="35" fillId="19" borderId="19" xfId="0" applyNumberFormat="1" applyFont="1" applyFill="1" applyBorder="1" applyAlignment="1">
      <alignment horizontal="center" vertical="center"/>
    </xf>
    <xf numFmtId="0" fontId="35" fillId="0" borderId="18" xfId="0" applyFont="1" applyBorder="1" applyAlignment="1">
      <alignment horizontal="left" vertical="center" wrapText="1" indent="1"/>
    </xf>
    <xf numFmtId="0" fontId="35" fillId="0" borderId="18" xfId="0" applyFont="1" applyBorder="1" applyAlignment="1">
      <alignment horizontal="center" vertical="center" wrapText="1"/>
    </xf>
    <xf numFmtId="8" fontId="19" fillId="20" borderId="18" xfId="0" applyNumberFormat="1" applyFont="1" applyFill="1" applyBorder="1" applyAlignment="1">
      <alignment horizontal="center" vertical="center" wrapText="1"/>
    </xf>
    <xf numFmtId="8" fontId="35" fillId="20" borderId="18" xfId="0" applyNumberFormat="1" applyFont="1" applyFill="1" applyBorder="1" applyAlignment="1">
      <alignment horizontal="center" vertical="center" wrapText="1"/>
    </xf>
    <xf numFmtId="8" fontId="19" fillId="0" borderId="18" xfId="0" applyNumberFormat="1" applyFont="1" applyBorder="1" applyAlignment="1">
      <alignment horizontal="center" vertical="center" wrapText="1"/>
    </xf>
    <xf numFmtId="8" fontId="35" fillId="0" borderId="19" xfId="0" applyNumberFormat="1" applyFont="1" applyBorder="1" applyAlignment="1">
      <alignment horizontal="center" vertical="center"/>
    </xf>
    <xf numFmtId="0" fontId="34" fillId="0" borderId="20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44" fillId="0" borderId="0" xfId="0" applyFont="1"/>
    <xf numFmtId="8" fontId="35" fillId="0" borderId="0" xfId="0" applyNumberFormat="1" applyFont="1"/>
    <xf numFmtId="0" fontId="45" fillId="0" borderId="0" xfId="0" applyFont="1"/>
    <xf numFmtId="8" fontId="35" fillId="19" borderId="18" xfId="0" applyNumberFormat="1" applyFont="1" applyFill="1" applyBorder="1" applyAlignment="1">
      <alignment horizontal="center" vertical="center" wrapText="1"/>
    </xf>
    <xf numFmtId="8" fontId="35" fillId="0" borderId="18" xfId="0" applyNumberFormat="1" applyFont="1" applyBorder="1" applyAlignment="1">
      <alignment horizontal="center" vertical="center" wrapText="1"/>
    </xf>
    <xf numFmtId="0" fontId="36" fillId="0" borderId="20" xfId="0" applyFont="1" applyBorder="1"/>
    <xf numFmtId="0" fontId="36" fillId="0" borderId="0" xfId="0" applyFont="1"/>
    <xf numFmtId="0" fontId="29" fillId="0" borderId="20" xfId="0" applyFont="1" applyBorder="1"/>
    <xf numFmtId="8" fontId="46" fillId="21" borderId="0" xfId="0" applyNumberFormat="1" applyFont="1" applyFill="1"/>
    <xf numFmtId="0" fontId="7" fillId="13" borderId="8" xfId="0" applyFont="1" applyFill="1" applyBorder="1" applyAlignment="1">
      <alignment horizontal="left" vertical="center" wrapText="1" indent="1"/>
    </xf>
    <xf numFmtId="43" fontId="1" fillId="0" borderId="0" xfId="6" applyFont="1"/>
    <xf numFmtId="0" fontId="15" fillId="22" borderId="18" xfId="0" applyFont="1" applyFill="1" applyBorder="1" applyAlignment="1">
      <alignment horizontal="left" vertical="center" wrapText="1" indent="1"/>
    </xf>
    <xf numFmtId="0" fontId="15" fillId="22" borderId="18" xfId="0" applyFont="1" applyFill="1" applyBorder="1" applyAlignment="1">
      <alignment horizontal="center" vertical="center" wrapText="1"/>
    </xf>
    <xf numFmtId="0" fontId="35" fillId="23" borderId="18" xfId="0" applyFont="1" applyFill="1" applyBorder="1" applyAlignment="1">
      <alignment horizontal="left" vertical="center" wrapText="1" indent="1"/>
    </xf>
    <xf numFmtId="0" fontId="42" fillId="23" borderId="18" xfId="0" applyFont="1" applyFill="1" applyBorder="1" applyAlignment="1">
      <alignment horizontal="left" vertical="center" wrapText="1"/>
    </xf>
    <xf numFmtId="0" fontId="42" fillId="23" borderId="19" xfId="0" applyFont="1" applyFill="1" applyBorder="1" applyAlignment="1">
      <alignment horizontal="center" vertical="center" wrapText="1"/>
    </xf>
    <xf numFmtId="0" fontId="43" fillId="23" borderId="19" xfId="0" applyFont="1" applyFill="1" applyBorder="1" applyAlignment="1">
      <alignment horizontal="center" vertical="center" wrapText="1"/>
    </xf>
    <xf numFmtId="8" fontId="28" fillId="23" borderId="0" xfId="0" applyNumberFormat="1" applyFont="1" applyFill="1" applyAlignment="1">
      <alignment horizontal="center" vertical="center" wrapText="1"/>
    </xf>
    <xf numFmtId="0" fontId="28" fillId="23" borderId="19" xfId="0" applyFont="1" applyFill="1" applyBorder="1" applyAlignment="1">
      <alignment horizontal="center" vertical="center" wrapText="1"/>
    </xf>
    <xf numFmtId="165" fontId="7" fillId="0" borderId="9" xfId="0" applyNumberFormat="1" applyFont="1" applyBorder="1" applyAlignment="1">
      <alignment horizontal="left" vertical="center" wrapText="1" indent="1"/>
    </xf>
    <xf numFmtId="0" fontId="7" fillId="0" borderId="10" xfId="0" applyFont="1" applyBorder="1" applyAlignment="1">
      <alignment horizontal="left" vertical="center" wrapText="1" indent="1"/>
    </xf>
    <xf numFmtId="164" fontId="19" fillId="0" borderId="9" xfId="5" applyFont="1" applyFill="1" applyBorder="1" applyAlignment="1">
      <alignment horizontal="left" vertical="center" wrapText="1"/>
    </xf>
    <xf numFmtId="164" fontId="7" fillId="0" borderId="9" xfId="5" applyFont="1" applyFill="1" applyBorder="1" applyAlignment="1">
      <alignment horizontal="left" vertical="center" wrapText="1"/>
    </xf>
    <xf numFmtId="164" fontId="7" fillId="0" borderId="10" xfId="0" applyNumberFormat="1" applyFont="1" applyBorder="1" applyAlignment="1">
      <alignment horizontal="center" vertical="center" wrapText="1"/>
    </xf>
    <xf numFmtId="0" fontId="7" fillId="6" borderId="8" xfId="0" applyFont="1" applyFill="1" applyBorder="1" applyAlignment="1">
      <alignment horizontal="left" vertical="center" wrapText="1" indent="1"/>
    </xf>
    <xf numFmtId="0" fontId="22" fillId="3" borderId="12" xfId="4" applyFont="1" applyFill="1" applyBorder="1" applyAlignment="1">
      <alignment horizontal="center" vertical="center"/>
    </xf>
    <xf numFmtId="164" fontId="26" fillId="4" borderId="8" xfId="5" applyFont="1" applyFill="1" applyBorder="1" applyAlignment="1">
      <alignment horizontal="right" vertical="center" wrapText="1"/>
    </xf>
    <xf numFmtId="164" fontId="26" fillId="4" borderId="13" xfId="5" applyFont="1" applyFill="1" applyBorder="1" applyAlignment="1">
      <alignment horizontal="right" vertical="center" wrapText="1"/>
    </xf>
    <xf numFmtId="0" fontId="29" fillId="0" borderId="0" xfId="0" applyFont="1"/>
  </cellXfs>
  <cellStyles count="7">
    <cellStyle name="Comma" xfId="6" builtinId="3"/>
    <cellStyle name="Currency" xfId="5" builtinId="4"/>
    <cellStyle name="Hyperlink" xfId="4" builtinId="8"/>
    <cellStyle name="Normal" xfId="0" builtinId="0"/>
    <cellStyle name="Normal 2" xfId="1" xr:uid="{910D60DD-7F60-3F45-9874-57B77E167907}"/>
    <cellStyle name="Normal 3" xfId="2" xr:uid="{392F3034-B0C2-5F41-9088-F521379720EF}"/>
    <cellStyle name="Note 2" xfId="3" xr:uid="{4B642108-E574-F94E-8C32-53D7C5A4FF78}"/>
  </cellStyles>
  <dxfs count="18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9" defaultPivotStyle="PivotStyleMedium7"/>
  <colors>
    <mruColors>
      <color rgb="FFEDE98F"/>
      <color rgb="FFEAEEF3"/>
      <color rgb="FFFF9D9B"/>
      <color rgb="FFCF0601"/>
      <color rgb="FF00BD32"/>
      <color rgb="FFEEA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67AF-1F47-4608-A432-56A25C659A18}">
  <sheetPr>
    <tabColor theme="3"/>
    <pageSetUpPr fitToPage="1"/>
  </sheetPr>
  <dimension ref="A1:L39"/>
  <sheetViews>
    <sheetView showGridLines="0" workbookViewId="0">
      <pane ySplit="9" topLeftCell="A21" activePane="bottomLeft" state="frozen"/>
      <selection pane="bottomLeft" activeCell="H21" sqref="H21"/>
    </sheetView>
  </sheetViews>
  <sheetFormatPr defaultColWidth="10.875" defaultRowHeight="17.25" x14ac:dyDescent="0.3"/>
  <cols>
    <col min="1" max="1" width="3.375" style="1" customWidth="1"/>
    <col min="2" max="2" width="21" style="1" customWidth="1"/>
    <col min="3" max="3" width="40.875" style="1" customWidth="1"/>
    <col min="4" max="4" width="20.875" style="1" customWidth="1"/>
    <col min="5" max="6" width="23.125" style="1" customWidth="1"/>
    <col min="7" max="7" width="3.375" style="1" customWidth="1"/>
    <col min="8" max="8" width="17.25" style="1" customWidth="1"/>
    <col min="9" max="9" width="25.5" style="1" customWidth="1"/>
    <col min="10" max="16384" width="10.875" style="1"/>
  </cols>
  <sheetData>
    <row r="1" spans="1:12" ht="19.5" customHeight="1" x14ac:dyDescent="0.3"/>
    <row r="2" spans="1:12" s="5" customFormat="1" ht="30" customHeight="1" x14ac:dyDescent="0.25">
      <c r="B2" s="31" t="s">
        <v>0</v>
      </c>
      <c r="C2" s="10"/>
      <c r="D2" s="10"/>
      <c r="E2" s="4"/>
      <c r="F2" s="4"/>
      <c r="G2" s="4"/>
      <c r="H2" s="4"/>
      <c r="I2" s="4"/>
      <c r="J2" s="4"/>
      <c r="K2" s="4"/>
      <c r="L2" s="4"/>
    </row>
    <row r="3" spans="1:12" ht="24.95" customHeight="1" x14ac:dyDescent="0.3">
      <c r="B3" s="21" t="s">
        <v>1</v>
      </c>
      <c r="C3" s="30" t="s">
        <v>2</v>
      </c>
      <c r="D3" s="29"/>
      <c r="E3" s="9"/>
      <c r="F3" s="84" t="s">
        <v>3</v>
      </c>
      <c r="G3"/>
      <c r="H3"/>
    </row>
    <row r="4" spans="1:12" ht="15.75" customHeight="1" x14ac:dyDescent="0.3">
      <c r="B4" s="21"/>
      <c r="C4" s="34"/>
      <c r="D4" s="2"/>
      <c r="E4" s="22"/>
      <c r="F4" s="74">
        <f>SUM(E14,E21,E30,E27)</f>
        <v>980214.33000000007</v>
      </c>
      <c r="H4" s="87"/>
    </row>
    <row r="5" spans="1:12" ht="19.5" customHeight="1" x14ac:dyDescent="0.3">
      <c r="B5" s="21"/>
      <c r="C5" s="34"/>
      <c r="D5" s="2"/>
      <c r="E5" s="9"/>
      <c r="F5" s="71"/>
    </row>
    <row r="6" spans="1:12" ht="22.5" customHeight="1" x14ac:dyDescent="0.3">
      <c r="E6" s="9"/>
      <c r="F6" s="72"/>
    </row>
    <row r="7" spans="1:12" ht="20.25" customHeight="1" x14ac:dyDescent="0.3">
      <c r="B7" s="21"/>
      <c r="C7" s="34"/>
      <c r="D7" s="2"/>
      <c r="E7" s="9"/>
      <c r="F7" s="72"/>
    </row>
    <row r="8" spans="1:12" ht="23.25" customHeight="1" x14ac:dyDescent="0.3">
      <c r="A8" s="39" t="s">
        <v>4</v>
      </c>
      <c r="B8" s="36"/>
      <c r="C8" s="37"/>
      <c r="D8" s="35"/>
      <c r="E8" s="38"/>
      <c r="F8" s="38"/>
    </row>
    <row r="9" spans="1:12" ht="45" hidden="1" customHeight="1" x14ac:dyDescent="0.3">
      <c r="B9" s="15" t="s">
        <v>5</v>
      </c>
      <c r="C9" s="15" t="s">
        <v>6</v>
      </c>
      <c r="D9" s="15" t="s">
        <v>7</v>
      </c>
      <c r="E9" s="98" t="s">
        <v>8</v>
      </c>
      <c r="F9" s="16"/>
    </row>
    <row r="10" spans="1:12" ht="21.95" customHeight="1" x14ac:dyDescent="0.3">
      <c r="B10" s="23" t="s">
        <v>9</v>
      </c>
      <c r="C10" s="24" t="s">
        <v>10</v>
      </c>
      <c r="D10" s="89">
        <f>'R&amp;D Detailed (Prod) FY24 Ledger'!D36</f>
        <v>139</v>
      </c>
      <c r="E10" s="97">
        <f>'R&amp;D Detailed (Prod) FY24 Ledger'!G36</f>
        <v>308851.17000000004</v>
      </c>
      <c r="F10" s="20"/>
    </row>
    <row r="11" spans="1:12" ht="21.95" customHeight="1" x14ac:dyDescent="0.3">
      <c r="B11" s="17"/>
      <c r="C11" s="14" t="s">
        <v>11</v>
      </c>
      <c r="D11" s="88">
        <f>'R&amp;D Detailed (Prod) FY24 Ledger'!D48</f>
        <v>53</v>
      </c>
      <c r="E11" s="93">
        <f>'R&amp;D Detailed (Prod) FY24 Ledger'!G48</f>
        <v>120640.26000000001</v>
      </c>
      <c r="F11" s="52"/>
      <c r="L11" s="105"/>
    </row>
    <row r="12" spans="1:12" ht="21.95" customHeight="1" x14ac:dyDescent="0.3">
      <c r="B12" s="23"/>
      <c r="C12" s="24" t="s">
        <v>12</v>
      </c>
      <c r="D12" s="89">
        <f>'R&amp;D Detailed (Prod) FY24 Ledger'!D55</f>
        <v>3</v>
      </c>
      <c r="E12" s="94">
        <f>'R&amp;D Detailed (Prod) FY24 Ledger'!G55</f>
        <v>34664.68</v>
      </c>
      <c r="F12" s="20"/>
    </row>
    <row r="13" spans="1:12" ht="21.95" customHeight="1" x14ac:dyDescent="0.3">
      <c r="B13" s="17"/>
      <c r="C13" s="14"/>
      <c r="D13" s="33"/>
      <c r="E13" s="95"/>
      <c r="F13" s="52"/>
    </row>
    <row r="14" spans="1:12" ht="21.95" customHeight="1" x14ac:dyDescent="0.3">
      <c r="B14" s="40"/>
      <c r="C14" s="41"/>
      <c r="D14" s="103" t="s">
        <v>13</v>
      </c>
      <c r="E14" s="102">
        <f>SUM(E10:E13)</f>
        <v>464156.11000000004</v>
      </c>
      <c r="F14" s="43"/>
    </row>
    <row r="15" spans="1:12" ht="21.95" customHeight="1" x14ac:dyDescent="0.3">
      <c r="B15" s="17" t="s">
        <v>14</v>
      </c>
      <c r="C15" s="14" t="s">
        <v>15</v>
      </c>
      <c r="D15" s="91">
        <v>1</v>
      </c>
      <c r="E15" s="95">
        <v>770</v>
      </c>
      <c r="F15" s="92"/>
    </row>
    <row r="16" spans="1:12" ht="21.95" customHeight="1" x14ac:dyDescent="0.3">
      <c r="B16" s="23"/>
      <c r="C16" s="24" t="s">
        <v>16</v>
      </c>
      <c r="D16" s="100">
        <v>1</v>
      </c>
      <c r="E16" s="94">
        <v>1500</v>
      </c>
      <c r="F16" s="20"/>
    </row>
    <row r="17" spans="2:9" ht="21.95" customHeight="1" x14ac:dyDescent="0.3">
      <c r="B17" s="17"/>
      <c r="C17" s="14" t="s">
        <v>17</v>
      </c>
      <c r="D17" s="101">
        <v>1</v>
      </c>
      <c r="E17" s="95">
        <v>2500</v>
      </c>
      <c r="F17" s="92"/>
    </row>
    <row r="18" spans="2:9" ht="21.95" hidden="1" customHeight="1" x14ac:dyDescent="0.3">
      <c r="B18" s="23"/>
      <c r="C18" s="24"/>
      <c r="D18" s="100"/>
      <c r="E18" s="94"/>
      <c r="F18" s="20"/>
    </row>
    <row r="19" spans="2:9" ht="21.95" hidden="1" customHeight="1" x14ac:dyDescent="0.3">
      <c r="B19" s="17"/>
      <c r="C19" s="14"/>
      <c r="D19" s="88"/>
      <c r="E19" s="93"/>
      <c r="F19" s="92"/>
    </row>
    <row r="20" spans="2:9" ht="21.95" customHeight="1" x14ac:dyDescent="0.3">
      <c r="B20" s="23"/>
      <c r="C20" s="24"/>
      <c r="D20" s="32"/>
      <c r="E20" s="94"/>
      <c r="F20" s="20"/>
    </row>
    <row r="21" spans="2:9" ht="21.95" customHeight="1" x14ac:dyDescent="0.3">
      <c r="B21" s="40"/>
      <c r="C21" s="41"/>
      <c r="D21" s="103" t="s">
        <v>13</v>
      </c>
      <c r="E21" s="102">
        <f>SUM(E15:E20)</f>
        <v>4770</v>
      </c>
      <c r="F21" s="43"/>
    </row>
    <row r="22" spans="2:9" ht="23.25" customHeight="1" x14ac:dyDescent="0.3">
      <c r="B22" s="23" t="s">
        <v>18</v>
      </c>
      <c r="C22" s="24" t="s">
        <v>19</v>
      </c>
      <c r="D22" s="90">
        <v>65265</v>
      </c>
      <c r="E22" s="94">
        <v>282187.5</v>
      </c>
      <c r="F22" s="20" t="s">
        <v>20</v>
      </c>
    </row>
    <row r="23" spans="2:9" ht="21.95" customHeight="1" x14ac:dyDescent="0.3">
      <c r="B23" s="17"/>
      <c r="C23" s="14" t="s">
        <v>21</v>
      </c>
      <c r="D23" s="91">
        <v>5500</v>
      </c>
      <c r="E23" s="95">
        <f>5500*7.86</f>
        <v>43230</v>
      </c>
      <c r="F23" s="52"/>
      <c r="G23" s="86"/>
    </row>
    <row r="24" spans="2:9" ht="38.25" customHeight="1" x14ac:dyDescent="0.3">
      <c r="B24" s="23"/>
      <c r="C24" s="24" t="s">
        <v>22</v>
      </c>
      <c r="D24" s="94" t="s">
        <v>23</v>
      </c>
      <c r="E24" s="94">
        <v>50232</v>
      </c>
      <c r="F24" s="20"/>
    </row>
    <row r="25" spans="2:9" ht="21.95" customHeight="1" x14ac:dyDescent="0.3">
      <c r="B25" s="17"/>
      <c r="C25" s="14" t="s">
        <v>24</v>
      </c>
      <c r="D25" s="91" t="s">
        <v>23</v>
      </c>
      <c r="E25" s="95">
        <v>135638.72</v>
      </c>
      <c r="F25" s="52"/>
      <c r="G25" s="86"/>
    </row>
    <row r="26" spans="2:9" ht="21.95" customHeight="1" x14ac:dyDescent="0.3">
      <c r="B26" s="23"/>
      <c r="C26" s="24"/>
      <c r="D26" s="25"/>
      <c r="E26" s="94"/>
      <c r="F26" s="25"/>
      <c r="I26" s="6"/>
    </row>
    <row r="27" spans="2:9" s="6" customFormat="1" ht="21.95" customHeight="1" x14ac:dyDescent="0.2">
      <c r="B27" s="40"/>
      <c r="C27" s="41"/>
      <c r="D27" s="103" t="s">
        <v>13</v>
      </c>
      <c r="E27" s="102">
        <f>SUM(E22:E26)</f>
        <v>511288.22</v>
      </c>
      <c r="F27" s="43"/>
    </row>
    <row r="28" spans="2:9" s="6" customFormat="1" ht="21.95" customHeight="1" x14ac:dyDescent="0.2">
      <c r="B28" s="23"/>
      <c r="C28" s="24"/>
      <c r="D28" s="25"/>
      <c r="E28" s="94"/>
      <c r="F28" s="25"/>
    </row>
    <row r="29" spans="2:9" s="6" customFormat="1" ht="21.95" customHeight="1" x14ac:dyDescent="0.2">
      <c r="B29" s="23"/>
      <c r="C29" s="24"/>
      <c r="D29" s="25"/>
      <c r="E29" s="94"/>
      <c r="F29" s="25"/>
    </row>
    <row r="30" spans="2:9" ht="21.95" customHeight="1" x14ac:dyDescent="0.3">
      <c r="B30" s="40"/>
      <c r="C30" s="41"/>
      <c r="D30" s="42"/>
      <c r="E30" s="96">
        <f>SUM(E28:E29)</f>
        <v>0</v>
      </c>
      <c r="F30" s="43"/>
    </row>
    <row r="31" spans="2:9" x14ac:dyDescent="0.3">
      <c r="H31" s="99"/>
    </row>
    <row r="32" spans="2:9" ht="21.95" customHeight="1" x14ac:dyDescent="0.3"/>
    <row r="33" spans="2:9" ht="21.95" customHeight="1" x14ac:dyDescent="0.3"/>
    <row r="34" spans="2:9" ht="21.95" customHeight="1" x14ac:dyDescent="0.3"/>
    <row r="35" spans="2:9" ht="21.95" customHeight="1" x14ac:dyDescent="0.3"/>
    <row r="36" spans="2:9" ht="21.95" customHeight="1" x14ac:dyDescent="0.3">
      <c r="I36" s="99"/>
    </row>
    <row r="37" spans="2:9" s="6" customFormat="1" ht="50.1" customHeight="1" x14ac:dyDescent="0.2">
      <c r="B37" s="13"/>
      <c r="C37" s="13"/>
      <c r="D37" s="13"/>
      <c r="E37" s="11"/>
      <c r="F37" s="11"/>
    </row>
    <row r="38" spans="2:9" ht="24.95" customHeight="1" x14ac:dyDescent="0.3">
      <c r="B38" s="13"/>
      <c r="C38" s="13"/>
      <c r="D38" s="13"/>
      <c r="E38" s="11"/>
      <c r="F38" s="11"/>
    </row>
    <row r="39" spans="2:9" ht="24.95" customHeight="1" x14ac:dyDescent="0.3"/>
  </sheetData>
  <conditionalFormatting sqref="D16:E16">
    <cfRule type="cellIs" dxfId="17" priority="3" operator="lessThan">
      <formula>0</formula>
    </cfRule>
  </conditionalFormatting>
  <conditionalFormatting sqref="D18:E18">
    <cfRule type="cellIs" dxfId="16" priority="2" operator="lessThan">
      <formula>0</formula>
    </cfRule>
  </conditionalFormatting>
  <conditionalFormatting sqref="D24:E24">
    <cfRule type="cellIs" dxfId="15" priority="9" operator="lessThan">
      <formula>0</formula>
    </cfRule>
  </conditionalFormatting>
  <conditionalFormatting sqref="E11:E12">
    <cfRule type="cellIs" dxfId="14" priority="10" operator="lessThan">
      <formula>0</formula>
    </cfRule>
  </conditionalFormatting>
  <conditionalFormatting sqref="E15">
    <cfRule type="cellIs" dxfId="13" priority="4" operator="lessThan">
      <formula>0</formula>
    </cfRule>
  </conditionalFormatting>
  <conditionalFormatting sqref="E17">
    <cfRule type="cellIs" dxfId="12" priority="5" operator="lessThan">
      <formula>0</formula>
    </cfRule>
  </conditionalFormatting>
  <conditionalFormatting sqref="E22:E23">
    <cfRule type="cellIs" dxfId="11" priority="18" operator="lessThan">
      <formula>0</formula>
    </cfRule>
  </conditionalFormatting>
  <conditionalFormatting sqref="E25">
    <cfRule type="cellIs" dxfId="10" priority="1" operator="lessThan">
      <formula>0</formula>
    </cfRule>
  </conditionalFormatting>
  <conditionalFormatting sqref="F4 F6:F7 F10:F12 E13:F14 F15:F18 E19:F21 F22:F25 E27:F27 E30:F30">
    <cfRule type="cellIs" dxfId="9" priority="24" operator="lessThan">
      <formula>0</formula>
    </cfRule>
  </conditionalFormatting>
  <conditionalFormatting sqref="L11">
    <cfRule type="cellIs" dxfId="8" priority="14" operator="lessThan">
      <formula>0</formula>
    </cfRule>
  </conditionalFormatting>
  <pageMargins left="0.3" right="0.3" top="0.3" bottom="0.3" header="0" footer="0"/>
  <pageSetup scale="77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B1:XFD63"/>
  <sheetViews>
    <sheetView showGridLines="0" tabSelected="1" zoomScaleNormal="100" workbookViewId="0">
      <pane ySplit="8" topLeftCell="A9" activePane="bottomLeft" state="frozen"/>
      <selection pane="bottomLeft" activeCell="K20" sqref="K20"/>
    </sheetView>
  </sheetViews>
  <sheetFormatPr defaultColWidth="10.875" defaultRowHeight="17.25" x14ac:dyDescent="0.3"/>
  <cols>
    <col min="1" max="1" width="3.375" style="1" customWidth="1"/>
    <col min="2" max="2" width="13.875" style="1" customWidth="1"/>
    <col min="3" max="3" width="40.875" style="1" customWidth="1"/>
    <col min="4" max="4" width="20.875" style="1" customWidth="1"/>
    <col min="5" max="5" width="23.125" style="1" customWidth="1"/>
    <col min="6" max="6" width="23.125" style="2" customWidth="1"/>
    <col min="7" max="8" width="23.125" style="1" customWidth="1"/>
    <col min="9" max="9" width="3.375" style="1" customWidth="1"/>
    <col min="10" max="10" width="15" style="1" customWidth="1"/>
    <col min="11" max="16384" width="10.875" style="1"/>
  </cols>
  <sheetData>
    <row r="1" spans="2:14" ht="19.5" customHeight="1" x14ac:dyDescent="0.3"/>
    <row r="2" spans="2:14" s="5" customFormat="1" ht="50.1" customHeight="1" x14ac:dyDescent="0.25">
      <c r="B2" s="31" t="s">
        <v>68</v>
      </c>
      <c r="C2" s="10"/>
      <c r="D2" s="10"/>
      <c r="E2" s="3"/>
      <c r="F2" s="4"/>
      <c r="G2" s="4"/>
      <c r="H2" s="4"/>
      <c r="I2" s="4"/>
      <c r="J2" s="4"/>
      <c r="K2" s="4"/>
      <c r="L2" s="4"/>
      <c r="M2" s="4"/>
      <c r="N2" s="4"/>
    </row>
    <row r="3" spans="2:14" ht="24.95" customHeight="1" x14ac:dyDescent="0.3">
      <c r="B3" s="21"/>
      <c r="C3" s="34" t="s">
        <v>25</v>
      </c>
      <c r="D3" s="2"/>
      <c r="E3" s="2"/>
      <c r="G3" s="9"/>
      <c r="H3" s="73" t="s">
        <v>26</v>
      </c>
      <c r="I3"/>
      <c r="J3"/>
    </row>
    <row r="4" spans="2:14" ht="24.95" customHeight="1" x14ac:dyDescent="0.3">
      <c r="B4" s="21"/>
      <c r="C4" s="34"/>
      <c r="D4" s="2"/>
      <c r="E4" s="2"/>
      <c r="G4" s="22"/>
      <c r="H4" s="74">
        <f>G36+G48+G55</f>
        <v>464156.11000000004</v>
      </c>
      <c r="J4" s="157">
        <f>STARTING_BALANCE*18.5%</f>
        <v>85868.880350000007</v>
      </c>
    </row>
    <row r="5" spans="2:14" ht="24.95" customHeight="1" x14ac:dyDescent="0.3">
      <c r="B5" s="21"/>
      <c r="C5" s="34"/>
      <c r="D5" s="2"/>
      <c r="E5" s="2"/>
      <c r="G5" s="9"/>
      <c r="H5" s="71"/>
    </row>
    <row r="6" spans="2:14" ht="24.95" customHeight="1" x14ac:dyDescent="0.3">
      <c r="B6" s="21" t="s">
        <v>1</v>
      </c>
      <c r="C6" s="30" t="s">
        <v>84</v>
      </c>
      <c r="D6" s="29"/>
      <c r="E6" s="2"/>
      <c r="G6" s="9"/>
      <c r="H6" s="72"/>
    </row>
    <row r="7" spans="2:14" ht="15" customHeight="1" x14ac:dyDescent="0.3">
      <c r="B7" s="8"/>
      <c r="C7" s="19"/>
      <c r="D7" s="18"/>
      <c r="E7" s="8"/>
      <c r="F7" s="7"/>
    </row>
    <row r="8" spans="2:14" ht="45" customHeight="1" x14ac:dyDescent="0.3">
      <c r="B8" s="106" t="s">
        <v>5</v>
      </c>
      <c r="C8" s="106" t="s">
        <v>6</v>
      </c>
      <c r="D8" s="106" t="s">
        <v>7</v>
      </c>
      <c r="E8" s="107" t="s">
        <v>27</v>
      </c>
      <c r="F8" s="106" t="s">
        <v>28</v>
      </c>
      <c r="G8" s="108" t="s">
        <v>8</v>
      </c>
      <c r="H8" s="82"/>
    </row>
    <row r="9" spans="2:14" ht="21.95" customHeight="1" x14ac:dyDescent="0.3">
      <c r="B9" s="44"/>
      <c r="C9" s="45" t="s">
        <v>29</v>
      </c>
      <c r="D9" s="45">
        <v>3</v>
      </c>
      <c r="E9" s="46">
        <v>1670.86</v>
      </c>
      <c r="F9" s="47"/>
      <c r="G9" s="76">
        <f>E9*D9</f>
        <v>5012.58</v>
      </c>
      <c r="H9" s="68"/>
    </row>
    <row r="10" spans="2:14" ht="21.95" customHeight="1" x14ac:dyDescent="0.3">
      <c r="B10" s="17"/>
      <c r="C10" s="14" t="s">
        <v>30</v>
      </c>
      <c r="D10" s="14">
        <v>3</v>
      </c>
      <c r="E10" s="27">
        <v>1806.82</v>
      </c>
      <c r="F10" s="28"/>
      <c r="G10" s="77">
        <f t="shared" ref="G10:G20" si="0">E10*D10</f>
        <v>5420.46</v>
      </c>
      <c r="H10" s="68"/>
    </row>
    <row r="11" spans="2:14" ht="21.95" customHeight="1" x14ac:dyDescent="0.3">
      <c r="B11" s="44"/>
      <c r="C11" s="45" t="s">
        <v>31</v>
      </c>
      <c r="D11" s="45">
        <v>3</v>
      </c>
      <c r="E11" s="46">
        <v>821.73</v>
      </c>
      <c r="F11" s="47"/>
      <c r="G11" s="76">
        <f t="shared" si="0"/>
        <v>2465.19</v>
      </c>
      <c r="H11" s="68"/>
    </row>
    <row r="12" spans="2:14" ht="21.95" customHeight="1" x14ac:dyDescent="0.3">
      <c r="B12" s="17"/>
      <c r="C12" s="14" t="s">
        <v>32</v>
      </c>
      <c r="D12" s="14">
        <v>3</v>
      </c>
      <c r="E12" s="27">
        <v>930.89</v>
      </c>
      <c r="F12" s="28"/>
      <c r="G12" s="77">
        <f t="shared" si="0"/>
        <v>2792.67</v>
      </c>
      <c r="H12" s="68">
        <f>AVERAGE(E9:E34)</f>
        <v>1953.163846153846</v>
      </c>
    </row>
    <row r="13" spans="2:14" ht="21.95" customHeight="1" x14ac:dyDescent="0.3">
      <c r="B13" s="44"/>
      <c r="C13" s="45" t="s">
        <v>33</v>
      </c>
      <c r="D13" s="45">
        <v>3</v>
      </c>
      <c r="E13" s="46">
        <v>1056.3599999999999</v>
      </c>
      <c r="F13" s="47"/>
      <c r="G13" s="76">
        <f t="shared" si="0"/>
        <v>3169.08</v>
      </c>
      <c r="H13" s="68"/>
    </row>
    <row r="14" spans="2:14" ht="21.95" customHeight="1" x14ac:dyDescent="0.3">
      <c r="B14" s="17"/>
      <c r="C14" s="14" t="s">
        <v>34</v>
      </c>
      <c r="D14" s="14">
        <v>3</v>
      </c>
      <c r="E14" s="27">
        <v>1056.3599999999999</v>
      </c>
      <c r="F14" s="28"/>
      <c r="G14" s="77">
        <f t="shared" si="0"/>
        <v>3169.08</v>
      </c>
      <c r="H14" s="68" t="s">
        <v>102</v>
      </c>
    </row>
    <row r="15" spans="2:14" ht="21.95" customHeight="1" x14ac:dyDescent="0.3">
      <c r="B15" s="44"/>
      <c r="C15" s="45" t="s">
        <v>35</v>
      </c>
      <c r="D15" s="45">
        <v>3</v>
      </c>
      <c r="E15" s="46">
        <v>1967.31</v>
      </c>
      <c r="F15" s="47"/>
      <c r="G15" s="76">
        <f t="shared" si="0"/>
        <v>5901.93</v>
      </c>
      <c r="H15" s="68"/>
    </row>
    <row r="16" spans="2:14" ht="21.95" customHeight="1" x14ac:dyDescent="0.3">
      <c r="B16" s="17"/>
      <c r="C16" s="14" t="s">
        <v>36</v>
      </c>
      <c r="D16" s="14">
        <v>3</v>
      </c>
      <c r="E16" s="27">
        <v>1719.69</v>
      </c>
      <c r="F16" s="28"/>
      <c r="G16" s="77">
        <f t="shared" si="0"/>
        <v>5159.07</v>
      </c>
      <c r="H16" s="68"/>
    </row>
    <row r="17" spans="2:8" ht="21.95" customHeight="1" x14ac:dyDescent="0.3">
      <c r="B17" s="44"/>
      <c r="C17" s="45" t="s">
        <v>37</v>
      </c>
      <c r="D17" s="45">
        <v>3</v>
      </c>
      <c r="E17" s="46">
        <v>1556.74</v>
      </c>
      <c r="F17" s="47"/>
      <c r="G17" s="76">
        <f t="shared" si="0"/>
        <v>4670.22</v>
      </c>
      <c r="H17" s="68"/>
    </row>
    <row r="18" spans="2:8" ht="21.95" customHeight="1" x14ac:dyDescent="0.3">
      <c r="B18" s="17"/>
      <c r="C18" s="14" t="s">
        <v>38</v>
      </c>
      <c r="D18" s="14">
        <v>3</v>
      </c>
      <c r="E18" s="27">
        <v>2361.71</v>
      </c>
      <c r="F18" s="28"/>
      <c r="G18" s="77">
        <f t="shared" si="0"/>
        <v>7085.13</v>
      </c>
      <c r="H18" s="68"/>
    </row>
    <row r="19" spans="2:8" ht="21.95" customHeight="1" x14ac:dyDescent="0.3">
      <c r="B19" s="44"/>
      <c r="C19" s="45" t="s">
        <v>39</v>
      </c>
      <c r="D19" s="45">
        <v>4</v>
      </c>
      <c r="E19" s="46">
        <v>2063.67</v>
      </c>
      <c r="F19" s="47"/>
      <c r="G19" s="76">
        <f t="shared" si="0"/>
        <v>8254.68</v>
      </c>
      <c r="H19" s="68"/>
    </row>
    <row r="20" spans="2:8" ht="21.95" customHeight="1" x14ac:dyDescent="0.3">
      <c r="B20" s="17"/>
      <c r="C20" s="14" t="s">
        <v>40</v>
      </c>
      <c r="D20" s="104">
        <v>4</v>
      </c>
      <c r="E20" s="27">
        <v>1827.82</v>
      </c>
      <c r="F20" s="28"/>
      <c r="G20" s="77">
        <f t="shared" si="0"/>
        <v>7311.28</v>
      </c>
      <c r="H20" s="68"/>
    </row>
    <row r="21" spans="2:8" ht="21.95" customHeight="1" x14ac:dyDescent="0.3">
      <c r="B21" s="44"/>
      <c r="C21" s="45" t="s">
        <v>41</v>
      </c>
      <c r="D21" s="45">
        <v>3</v>
      </c>
      <c r="E21" s="46">
        <v>3146.12</v>
      </c>
      <c r="F21" s="47"/>
      <c r="G21" s="76">
        <f>E21*D21</f>
        <v>9438.36</v>
      </c>
      <c r="H21" s="68"/>
    </row>
    <row r="22" spans="2:8" ht="21.95" customHeight="1" x14ac:dyDescent="0.3">
      <c r="B22" s="17"/>
      <c r="C22" s="14" t="s">
        <v>97</v>
      </c>
      <c r="D22" s="104">
        <v>8</v>
      </c>
      <c r="E22" s="110">
        <v>1509</v>
      </c>
      <c r="F22" s="111"/>
      <c r="G22" s="112">
        <f>E22*D22</f>
        <v>12072</v>
      </c>
      <c r="H22" s="113"/>
    </row>
    <row r="23" spans="2:8" ht="21.95" customHeight="1" x14ac:dyDescent="0.3">
      <c r="B23" s="44"/>
      <c r="C23" s="45" t="s">
        <v>103</v>
      </c>
      <c r="D23" s="109">
        <v>8</v>
      </c>
      <c r="E23" s="46">
        <v>1409</v>
      </c>
      <c r="F23" s="47"/>
      <c r="G23" s="76">
        <f t="shared" ref="G23:G26" si="1">E23*D23</f>
        <v>11272</v>
      </c>
      <c r="H23" s="68"/>
    </row>
    <row r="24" spans="2:8" ht="21.95" customHeight="1" x14ac:dyDescent="0.3">
      <c r="B24" s="17"/>
      <c r="C24" s="14" t="s">
        <v>104</v>
      </c>
      <c r="D24" s="14">
        <v>8</v>
      </c>
      <c r="E24" s="110">
        <v>1409.09</v>
      </c>
      <c r="F24" s="111"/>
      <c r="G24" s="112">
        <f t="shared" si="1"/>
        <v>11272.72</v>
      </c>
      <c r="H24" s="113"/>
    </row>
    <row r="25" spans="2:8" ht="21.95" customHeight="1" x14ac:dyDescent="0.3">
      <c r="B25" s="44"/>
      <c r="C25" s="45" t="s">
        <v>95</v>
      </c>
      <c r="D25" s="109">
        <v>8</v>
      </c>
      <c r="E25" s="46">
        <v>2500</v>
      </c>
      <c r="F25" s="47"/>
      <c r="G25" s="76">
        <f t="shared" si="1"/>
        <v>20000</v>
      </c>
      <c r="H25" s="68"/>
    </row>
    <row r="26" spans="2:8" ht="21.95" customHeight="1" x14ac:dyDescent="0.3">
      <c r="B26" s="17"/>
      <c r="C26" s="14" t="s">
        <v>96</v>
      </c>
      <c r="D26" s="104">
        <v>8</v>
      </c>
      <c r="E26" s="110">
        <v>1409.09</v>
      </c>
      <c r="F26" s="111"/>
      <c r="G26" s="112">
        <f t="shared" si="1"/>
        <v>11272.72</v>
      </c>
      <c r="H26" s="113"/>
    </row>
    <row r="27" spans="2:8" ht="21.95" customHeight="1" x14ac:dyDescent="0.3">
      <c r="B27" s="44"/>
      <c r="C27" s="45" t="s">
        <v>42</v>
      </c>
      <c r="D27" s="109">
        <v>8</v>
      </c>
      <c r="E27" s="46">
        <v>1350</v>
      </c>
      <c r="F27" s="47"/>
      <c r="G27" s="76">
        <f>E27*D27</f>
        <v>10800</v>
      </c>
      <c r="H27" s="68"/>
    </row>
    <row r="28" spans="2:8" ht="21.95" customHeight="1" x14ac:dyDescent="0.3">
      <c r="B28" s="44"/>
      <c r="C28" s="45" t="s">
        <v>109</v>
      </c>
      <c r="D28" s="109">
        <v>8</v>
      </c>
      <c r="E28" s="46">
        <v>3000</v>
      </c>
      <c r="F28" s="47"/>
      <c r="G28" s="76">
        <f>E28*D28</f>
        <v>24000</v>
      </c>
      <c r="H28" s="68"/>
    </row>
    <row r="29" spans="2:8" ht="21.95" customHeight="1" x14ac:dyDescent="0.3">
      <c r="B29" s="44"/>
      <c r="C29" s="45" t="s">
        <v>110</v>
      </c>
      <c r="D29" s="109">
        <v>8</v>
      </c>
      <c r="E29" s="46">
        <v>2000</v>
      </c>
      <c r="F29" s="47"/>
      <c r="G29" s="76">
        <f>E29*D29</f>
        <v>16000</v>
      </c>
      <c r="H29" s="68"/>
    </row>
    <row r="30" spans="2:8" ht="21.95" customHeight="1" x14ac:dyDescent="0.3">
      <c r="B30" s="69"/>
      <c r="C30" s="65" t="s">
        <v>114</v>
      </c>
      <c r="D30" s="65">
        <v>3</v>
      </c>
      <c r="E30" s="66">
        <v>2000</v>
      </c>
      <c r="F30" s="67"/>
      <c r="G30" s="76">
        <f t="shared" ref="G30:G31" si="2">E30*D30</f>
        <v>6000</v>
      </c>
      <c r="H30" s="68"/>
    </row>
    <row r="31" spans="2:8" ht="21.95" customHeight="1" x14ac:dyDescent="0.3">
      <c r="B31" s="69"/>
      <c r="C31" s="65" t="s">
        <v>108</v>
      </c>
      <c r="D31" s="65">
        <v>3</v>
      </c>
      <c r="E31" s="66">
        <v>3000</v>
      </c>
      <c r="F31" s="67"/>
      <c r="G31" s="76">
        <f t="shared" si="2"/>
        <v>9000</v>
      </c>
      <c r="H31" s="68"/>
    </row>
    <row r="32" spans="2:8" ht="21.95" customHeight="1" x14ac:dyDescent="0.3">
      <c r="B32" s="17"/>
      <c r="C32" s="14" t="s">
        <v>105</v>
      </c>
      <c r="D32" s="14">
        <v>8</v>
      </c>
      <c r="E32" s="110">
        <v>2351</v>
      </c>
      <c r="F32" s="111"/>
      <c r="G32" s="112">
        <f t="shared" ref="G32:G35" si="3">E32*D32</f>
        <v>18808</v>
      </c>
      <c r="H32" s="113"/>
    </row>
    <row r="33" spans="2:8" ht="21.95" customHeight="1" x14ac:dyDescent="0.3">
      <c r="B33" s="44"/>
      <c r="C33" s="45" t="s">
        <v>106</v>
      </c>
      <c r="D33" s="109">
        <v>8</v>
      </c>
      <c r="E33" s="46">
        <v>2000</v>
      </c>
      <c r="F33" s="47"/>
      <c r="G33" s="76">
        <f t="shared" si="3"/>
        <v>16000</v>
      </c>
      <c r="H33" s="113"/>
    </row>
    <row r="34" spans="2:8" ht="21.95" customHeight="1" x14ac:dyDescent="0.3">
      <c r="B34" s="17"/>
      <c r="C34" s="14" t="s">
        <v>43</v>
      </c>
      <c r="D34" s="104">
        <v>6</v>
      </c>
      <c r="E34" s="110">
        <v>4859</v>
      </c>
      <c r="F34" s="111"/>
      <c r="G34" s="112">
        <f t="shared" si="3"/>
        <v>29154</v>
      </c>
      <c r="H34" s="113"/>
    </row>
    <row r="35" spans="2:8" ht="21.95" customHeight="1" x14ac:dyDescent="0.3">
      <c r="B35" s="44"/>
      <c r="C35" s="45" t="s">
        <v>44</v>
      </c>
      <c r="D35" s="45">
        <v>6</v>
      </c>
      <c r="E35" s="46">
        <v>7225</v>
      </c>
      <c r="F35" s="47"/>
      <c r="G35" s="76">
        <f t="shared" si="3"/>
        <v>43350</v>
      </c>
      <c r="H35" s="113"/>
    </row>
    <row r="36" spans="2:8" ht="21.95" customHeight="1" x14ac:dyDescent="0.3">
      <c r="B36" s="53"/>
      <c r="C36" s="55" t="s">
        <v>45</v>
      </c>
      <c r="D36" s="83">
        <f>SUM(D9:D35)</f>
        <v>139</v>
      </c>
      <c r="E36" s="54"/>
      <c r="F36" s="55" t="s">
        <v>46</v>
      </c>
      <c r="G36" s="78">
        <f>SUM(G9:G35)</f>
        <v>308851.17000000004</v>
      </c>
      <c r="H36" s="68"/>
    </row>
    <row r="37" spans="2:8" ht="21.95" customHeight="1" x14ac:dyDescent="0.3">
      <c r="B37" s="17"/>
      <c r="C37" s="14" t="s">
        <v>47</v>
      </c>
      <c r="D37" s="14">
        <v>3</v>
      </c>
      <c r="E37" s="27">
        <v>4772.05</v>
      </c>
      <c r="F37" s="28"/>
      <c r="G37" s="77">
        <f>E37*D37</f>
        <v>14316.150000000001</v>
      </c>
      <c r="H37" s="68"/>
    </row>
    <row r="38" spans="2:8" ht="21.95" customHeight="1" x14ac:dyDescent="0.3">
      <c r="B38" s="48"/>
      <c r="C38" s="49" t="s">
        <v>48</v>
      </c>
      <c r="D38" s="49">
        <v>3</v>
      </c>
      <c r="E38" s="50">
        <v>4090.23</v>
      </c>
      <c r="F38" s="51"/>
      <c r="G38" s="79">
        <f t="shared" ref="G38:G47" si="4">E38*D38</f>
        <v>12270.69</v>
      </c>
      <c r="H38" s="68"/>
    </row>
    <row r="39" spans="2:8" ht="21.95" customHeight="1" x14ac:dyDescent="0.3">
      <c r="B39" s="17"/>
      <c r="C39" s="14" t="s">
        <v>49</v>
      </c>
      <c r="D39" s="14">
        <v>3</v>
      </c>
      <c r="E39" s="27">
        <v>3067.5</v>
      </c>
      <c r="F39" s="28"/>
      <c r="G39" s="77">
        <f t="shared" si="4"/>
        <v>9202.5</v>
      </c>
      <c r="H39" s="68"/>
    </row>
    <row r="40" spans="2:8" ht="21.95" customHeight="1" x14ac:dyDescent="0.3">
      <c r="B40" s="48"/>
      <c r="C40" s="49" t="s">
        <v>50</v>
      </c>
      <c r="D40" s="49">
        <v>3</v>
      </c>
      <c r="E40" s="50">
        <v>1772.05</v>
      </c>
      <c r="F40" s="51"/>
      <c r="G40" s="79">
        <f t="shared" si="4"/>
        <v>5316.15</v>
      </c>
      <c r="H40" s="68"/>
    </row>
    <row r="41" spans="2:8" ht="21.95" customHeight="1" x14ac:dyDescent="0.3">
      <c r="B41" s="17"/>
      <c r="C41" s="14" t="s">
        <v>51</v>
      </c>
      <c r="D41" s="24">
        <v>3</v>
      </c>
      <c r="E41" s="27">
        <v>1317.5</v>
      </c>
      <c r="F41" s="28"/>
      <c r="G41" s="77">
        <f t="shared" si="4"/>
        <v>3952.5</v>
      </c>
      <c r="H41" s="68"/>
    </row>
    <row r="42" spans="2:8" s="6" customFormat="1" ht="21.95" customHeight="1" x14ac:dyDescent="0.2">
      <c r="B42" s="48"/>
      <c r="C42" s="49" t="s">
        <v>52</v>
      </c>
      <c r="D42" s="49">
        <v>3</v>
      </c>
      <c r="E42" s="50">
        <v>1362.95</v>
      </c>
      <c r="F42" s="51"/>
      <c r="G42" s="79">
        <f t="shared" si="4"/>
        <v>4088.8500000000004</v>
      </c>
      <c r="H42" s="68"/>
    </row>
    <row r="43" spans="2:8" ht="21.95" customHeight="1" x14ac:dyDescent="0.3">
      <c r="B43" s="17"/>
      <c r="C43" s="14" t="s">
        <v>53</v>
      </c>
      <c r="D43" s="24">
        <v>3</v>
      </c>
      <c r="E43" s="27">
        <v>1431.14</v>
      </c>
      <c r="F43" s="28"/>
      <c r="G43" s="77">
        <f t="shared" si="4"/>
        <v>4293.42</v>
      </c>
      <c r="H43" s="68"/>
    </row>
    <row r="44" spans="2:8" ht="21.95" customHeight="1" x14ac:dyDescent="0.3">
      <c r="B44" s="48"/>
      <c r="C44" s="49" t="s">
        <v>98</v>
      </c>
      <c r="D44" s="156">
        <v>8</v>
      </c>
      <c r="E44" s="50">
        <v>2000</v>
      </c>
      <c r="F44" s="51"/>
      <c r="G44" s="79">
        <f t="shared" si="4"/>
        <v>16000</v>
      </c>
      <c r="H44" s="68"/>
    </row>
    <row r="45" spans="2:8" ht="21.95" customHeight="1" x14ac:dyDescent="0.3">
      <c r="B45" s="17"/>
      <c r="C45" s="14" t="s">
        <v>99</v>
      </c>
      <c r="D45" s="171">
        <v>8</v>
      </c>
      <c r="E45" s="27">
        <v>1400</v>
      </c>
      <c r="F45" s="28"/>
      <c r="G45" s="112">
        <f t="shared" si="4"/>
        <v>11200</v>
      </c>
      <c r="H45" s="68"/>
    </row>
    <row r="46" spans="2:8" ht="21.95" customHeight="1" x14ac:dyDescent="0.3">
      <c r="B46" s="48"/>
      <c r="C46" s="49" t="s">
        <v>100</v>
      </c>
      <c r="D46" s="156">
        <v>8</v>
      </c>
      <c r="E46" s="50">
        <v>1500</v>
      </c>
      <c r="F46" s="51"/>
      <c r="G46" s="79">
        <f t="shared" si="4"/>
        <v>12000</v>
      </c>
      <c r="H46" s="68"/>
    </row>
    <row r="47" spans="2:8" ht="21.95" customHeight="1" x14ac:dyDescent="0.3">
      <c r="B47" s="17"/>
      <c r="C47" s="14" t="s">
        <v>101</v>
      </c>
      <c r="D47" s="171">
        <v>8</v>
      </c>
      <c r="E47" s="27">
        <v>3500</v>
      </c>
      <c r="F47" s="28"/>
      <c r="G47" s="112">
        <f t="shared" si="4"/>
        <v>28000</v>
      </c>
      <c r="H47" s="68"/>
    </row>
    <row r="48" spans="2:8" ht="21.95" customHeight="1" x14ac:dyDescent="0.3">
      <c r="B48" s="53"/>
      <c r="C48" s="55" t="s">
        <v>54</v>
      </c>
      <c r="D48" s="83">
        <f>SUM(D37:D47)</f>
        <v>53</v>
      </c>
      <c r="E48" s="54"/>
      <c r="F48" s="55" t="s">
        <v>55</v>
      </c>
      <c r="G48" s="78">
        <f>SUM(G37:G47)</f>
        <v>120640.26000000001</v>
      </c>
      <c r="H48" s="68"/>
    </row>
    <row r="49" spans="2:8 16384:16384" ht="21.95" customHeight="1" x14ac:dyDescent="0.3">
      <c r="B49" s="56"/>
      <c r="C49" s="57" t="s">
        <v>56</v>
      </c>
      <c r="D49" s="57">
        <v>3</v>
      </c>
      <c r="E49" s="58">
        <v>3234.33</v>
      </c>
      <c r="F49" s="59"/>
      <c r="G49" s="80">
        <f t="shared" ref="G49:G54" si="5">E49*D49</f>
        <v>9702.99</v>
      </c>
      <c r="H49" s="68"/>
    </row>
    <row r="50" spans="2:8 16384:16384" ht="21.95" customHeight="1" x14ac:dyDescent="0.3">
      <c r="B50" s="17"/>
      <c r="C50" s="14" t="s">
        <v>57</v>
      </c>
      <c r="D50" s="60">
        <v>3</v>
      </c>
      <c r="E50" s="27">
        <v>1971.82</v>
      </c>
      <c r="F50" s="28"/>
      <c r="G50" s="77">
        <f t="shared" si="5"/>
        <v>5915.46</v>
      </c>
      <c r="H50" s="68"/>
    </row>
    <row r="51" spans="2:8 16384:16384" ht="21.95" customHeight="1" x14ac:dyDescent="0.3">
      <c r="B51" s="56"/>
      <c r="C51" s="57" t="s">
        <v>58</v>
      </c>
      <c r="D51" s="57">
        <v>3</v>
      </c>
      <c r="E51" s="58">
        <v>688.61</v>
      </c>
      <c r="F51" s="59"/>
      <c r="G51" s="80">
        <f t="shared" si="5"/>
        <v>2065.83</v>
      </c>
      <c r="H51" s="68"/>
    </row>
    <row r="52" spans="2:8 16384:16384" ht="21.95" customHeight="1" x14ac:dyDescent="0.3">
      <c r="B52" s="17"/>
      <c r="C52" s="60" t="s">
        <v>59</v>
      </c>
      <c r="D52" s="60">
        <v>3</v>
      </c>
      <c r="E52" s="27">
        <v>1306.8</v>
      </c>
      <c r="F52" s="28"/>
      <c r="G52" s="77">
        <f t="shared" si="5"/>
        <v>3920.3999999999996</v>
      </c>
      <c r="H52" s="68"/>
    </row>
    <row r="53" spans="2:8 16384:16384" ht="21.95" customHeight="1" x14ac:dyDescent="0.3">
      <c r="B53" s="61"/>
      <c r="C53" s="62" t="s">
        <v>60</v>
      </c>
      <c r="D53" s="62">
        <v>3</v>
      </c>
      <c r="E53" s="63">
        <v>620</v>
      </c>
      <c r="F53" s="64"/>
      <c r="G53" s="81">
        <f t="shared" si="5"/>
        <v>1860</v>
      </c>
      <c r="H53" s="68"/>
    </row>
    <row r="54" spans="2:8 16384:16384" ht="21.95" customHeight="1" x14ac:dyDescent="0.3">
      <c r="B54" s="166"/>
      <c r="C54" s="14" t="s">
        <v>107</v>
      </c>
      <c r="D54" s="167">
        <v>8</v>
      </c>
      <c r="E54" s="168">
        <v>1400</v>
      </c>
      <c r="F54" s="169"/>
      <c r="G54" s="170">
        <f t="shared" si="5"/>
        <v>11200</v>
      </c>
      <c r="H54" s="113"/>
    </row>
    <row r="55" spans="2:8 16384:16384" ht="21.95" customHeight="1" x14ac:dyDescent="0.3">
      <c r="B55" s="53"/>
      <c r="C55" s="55" t="s">
        <v>61</v>
      </c>
      <c r="D55" s="83">
        <v>3</v>
      </c>
      <c r="E55" s="54"/>
      <c r="F55" s="55" t="s">
        <v>62</v>
      </c>
      <c r="G55" s="78">
        <f>SUM(G49:G54)</f>
        <v>34664.68</v>
      </c>
      <c r="H55" s="68"/>
      <c r="XFD55" s="1">
        <f>SUM(A55:XFC55)</f>
        <v>34667.68</v>
      </c>
    </row>
    <row r="56" spans="2:8 16384:16384" ht="21.95" customHeight="1" x14ac:dyDescent="0.3">
      <c r="B56" s="69"/>
      <c r="C56" s="65"/>
      <c r="D56" s="70"/>
      <c r="E56" s="66"/>
      <c r="F56" s="67"/>
      <c r="G56" s="68"/>
      <c r="H56" s="68"/>
    </row>
    <row r="57" spans="2:8 16384:16384" ht="21.95" customHeight="1" x14ac:dyDescent="0.3">
      <c r="B57" s="69"/>
      <c r="C57" s="65" t="s">
        <v>111</v>
      </c>
      <c r="D57" s="70">
        <v>40</v>
      </c>
      <c r="E57" s="66">
        <v>50</v>
      </c>
      <c r="F57" s="67"/>
      <c r="G57" s="68">
        <f>D57*E57</f>
        <v>2000</v>
      </c>
      <c r="H57" s="68"/>
    </row>
    <row r="58" spans="2:8 16384:16384" ht="21.95" customHeight="1" x14ac:dyDescent="0.3">
      <c r="B58" s="69"/>
      <c r="C58" s="65" t="s">
        <v>112</v>
      </c>
      <c r="D58" s="70">
        <v>2</v>
      </c>
      <c r="E58" s="66">
        <v>3000</v>
      </c>
      <c r="F58" s="67"/>
      <c r="G58" s="68">
        <f>D58*E58</f>
        <v>6000</v>
      </c>
      <c r="H58" s="68"/>
    </row>
    <row r="59" spans="2:8 16384:16384" ht="15" customHeight="1" x14ac:dyDescent="0.3">
      <c r="B59" s="65"/>
      <c r="C59" s="65" t="s">
        <v>113</v>
      </c>
      <c r="D59" s="65"/>
      <c r="E59" s="65"/>
      <c r="F59" s="85"/>
      <c r="G59" s="85"/>
      <c r="H59" s="85"/>
    </row>
    <row r="60" spans="2:8 16384:16384" ht="50.1" customHeight="1" x14ac:dyDescent="0.3">
      <c r="B60" s="172"/>
      <c r="C60" s="172"/>
      <c r="D60" s="172"/>
      <c r="E60" s="172"/>
      <c r="F60" s="172"/>
      <c r="G60" s="172"/>
      <c r="H60" s="172"/>
    </row>
    <row r="61" spans="2:8 16384:16384" s="6" customFormat="1" ht="50.1" customHeight="1" x14ac:dyDescent="0.2">
      <c r="B61" s="13"/>
      <c r="C61" s="13"/>
      <c r="D61" s="13"/>
      <c r="E61" s="13"/>
      <c r="F61" s="12"/>
      <c r="G61" s="11"/>
      <c r="H61" s="11"/>
    </row>
    <row r="62" spans="2:8 16384:16384" ht="24.95" customHeight="1" x14ac:dyDescent="0.3">
      <c r="B62" s="13"/>
      <c r="C62" s="13"/>
      <c r="D62" s="13"/>
      <c r="E62" s="13"/>
      <c r="F62" s="12"/>
      <c r="G62" s="11"/>
      <c r="H62" s="11"/>
    </row>
    <row r="63" spans="2:8 16384:16384" ht="24.95" customHeight="1" x14ac:dyDescent="0.3"/>
  </sheetData>
  <mergeCells count="1">
    <mergeCell ref="B60:H60"/>
  </mergeCells>
  <conditionalFormatting sqref="D36">
    <cfRule type="cellIs" dxfId="7" priority="3" operator="lessThan">
      <formula>0</formula>
    </cfRule>
  </conditionalFormatting>
  <conditionalFormatting sqref="D55">
    <cfRule type="cellIs" dxfId="6" priority="1" operator="lessThan">
      <formula>0</formula>
    </cfRule>
  </conditionalFormatting>
  <conditionalFormatting sqref="G9:H58 D48">
    <cfRule type="cellIs" dxfId="5" priority="2" operator="lessThan">
      <formula>0</formula>
    </cfRule>
  </conditionalFormatting>
  <conditionalFormatting sqref="H4 H6">
    <cfRule type="cellIs" dxfId="4" priority="6" operator="lessThan">
      <formula>0</formula>
    </cfRule>
  </conditionalFormatting>
  <pageMargins left="0.3" right="0.3" top="0.3" bottom="0.3" header="0" footer="0"/>
  <pageSetup scale="77" fitToHeight="0" orientation="landscape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45B1-3F80-4109-A0A5-FF723F763DD0}">
  <sheetPr>
    <tabColor theme="3"/>
    <pageSetUpPr fitToPage="1"/>
  </sheetPr>
  <dimension ref="B1:N43"/>
  <sheetViews>
    <sheetView showGridLines="0" zoomScale="80" zoomScaleNormal="80" workbookViewId="0">
      <pane ySplit="8" topLeftCell="A9" activePane="bottomLeft" state="frozen"/>
      <selection pane="bottomLeft" activeCell="H22" sqref="H22"/>
    </sheetView>
  </sheetViews>
  <sheetFormatPr defaultColWidth="10.875" defaultRowHeight="17.25" x14ac:dyDescent="0.3"/>
  <cols>
    <col min="1" max="1" width="3.375" style="1" customWidth="1"/>
    <col min="2" max="2" width="13.875" style="1" customWidth="1"/>
    <col min="3" max="3" width="40.875" style="1" customWidth="1"/>
    <col min="4" max="4" width="20.875" style="1" customWidth="1"/>
    <col min="5" max="5" width="23.125" style="1" customWidth="1"/>
    <col min="6" max="6" width="23.125" style="2" customWidth="1"/>
    <col min="7" max="8" width="23.125" style="1" customWidth="1"/>
    <col min="9" max="9" width="3.375" style="1" customWidth="1"/>
    <col min="10" max="16384" width="10.875" style="1"/>
  </cols>
  <sheetData>
    <row r="1" spans="2:14" ht="19.5" customHeight="1" x14ac:dyDescent="0.3"/>
    <row r="2" spans="2:14" s="5" customFormat="1" ht="50.1" customHeight="1" x14ac:dyDescent="0.25">
      <c r="B2" s="31" t="s">
        <v>68</v>
      </c>
      <c r="C2" s="10"/>
      <c r="D2" s="10"/>
      <c r="E2" s="3"/>
      <c r="F2" s="4"/>
      <c r="G2" s="4"/>
      <c r="H2" s="4"/>
      <c r="I2" s="4"/>
      <c r="J2" s="4"/>
      <c r="K2" s="4"/>
      <c r="L2" s="4"/>
      <c r="M2" s="4"/>
      <c r="N2" s="4"/>
    </row>
    <row r="3" spans="2:14" ht="24.95" customHeight="1" x14ac:dyDescent="0.3">
      <c r="B3" s="21"/>
      <c r="C3" s="34" t="s">
        <v>25</v>
      </c>
      <c r="D3" s="2"/>
      <c r="E3" s="2"/>
      <c r="G3" s="9"/>
      <c r="H3" s="73" t="s">
        <v>63</v>
      </c>
      <c r="I3"/>
      <c r="J3"/>
    </row>
    <row r="4" spans="2:14" ht="24.95" customHeight="1" x14ac:dyDescent="0.3">
      <c r="B4" s="21"/>
      <c r="C4" s="34"/>
      <c r="D4" s="2"/>
      <c r="E4" s="2"/>
      <c r="G4" s="22"/>
      <c r="H4" s="74">
        <f>G18+G27+G33</f>
        <v>45000</v>
      </c>
    </row>
    <row r="5" spans="2:14" ht="24.95" customHeight="1" x14ac:dyDescent="0.3">
      <c r="B5" s="21"/>
      <c r="C5" s="34"/>
      <c r="D5" s="2"/>
      <c r="E5" s="2"/>
      <c r="G5" s="9"/>
      <c r="H5" s="71"/>
    </row>
    <row r="6" spans="2:14" ht="24.95" customHeight="1" x14ac:dyDescent="0.3">
      <c r="B6" s="21" t="s">
        <v>1</v>
      </c>
      <c r="C6" s="30" t="s">
        <v>84</v>
      </c>
      <c r="D6" s="29"/>
      <c r="E6" s="2"/>
      <c r="G6" s="9"/>
      <c r="H6" s="72"/>
    </row>
    <row r="7" spans="2:14" ht="15" customHeight="1" x14ac:dyDescent="0.3">
      <c r="B7" s="8"/>
      <c r="C7" s="19"/>
      <c r="D7" s="18"/>
      <c r="E7" s="8"/>
      <c r="F7" s="7"/>
    </row>
    <row r="8" spans="2:14" ht="45" customHeight="1" x14ac:dyDescent="0.3">
      <c r="B8" s="15" t="s">
        <v>64</v>
      </c>
      <c r="C8" s="15" t="s">
        <v>6</v>
      </c>
      <c r="D8" s="15" t="s">
        <v>7</v>
      </c>
      <c r="E8" s="26" t="s">
        <v>27</v>
      </c>
      <c r="F8" s="15" t="s">
        <v>28</v>
      </c>
      <c r="G8" s="75" t="s">
        <v>8</v>
      </c>
      <c r="H8" s="82"/>
    </row>
    <row r="9" spans="2:14" ht="21.95" customHeight="1" x14ac:dyDescent="0.3">
      <c r="B9" s="44"/>
      <c r="C9" s="45" t="s">
        <v>65</v>
      </c>
      <c r="D9" s="45">
        <v>5000</v>
      </c>
      <c r="E9" s="46">
        <v>2.9</v>
      </c>
      <c r="F9" s="47"/>
      <c r="G9" s="76">
        <f>E9*D9</f>
        <v>14500</v>
      </c>
      <c r="H9" s="68"/>
    </row>
    <row r="10" spans="2:14" ht="21.95" customHeight="1" x14ac:dyDescent="0.3">
      <c r="B10" s="17"/>
      <c r="C10" s="14" t="s">
        <v>66</v>
      </c>
      <c r="D10" s="14">
        <v>5000</v>
      </c>
      <c r="E10" s="27">
        <v>3</v>
      </c>
      <c r="F10" s="28"/>
      <c r="G10" s="77">
        <f t="shared" ref="G10:G11" si="0">E10*D10</f>
        <v>15000</v>
      </c>
      <c r="H10" s="68"/>
    </row>
    <row r="11" spans="2:14" ht="21.95" customHeight="1" x14ac:dyDescent="0.3">
      <c r="B11" s="44"/>
      <c r="C11" s="45" t="s">
        <v>67</v>
      </c>
      <c r="D11" s="45">
        <v>5000</v>
      </c>
      <c r="E11" s="46">
        <v>3.1</v>
      </c>
      <c r="F11" s="47"/>
      <c r="G11" s="76">
        <f t="shared" si="0"/>
        <v>15500</v>
      </c>
      <c r="H11" s="68"/>
    </row>
    <row r="12" spans="2:14" ht="21.95" customHeight="1" x14ac:dyDescent="0.3">
      <c r="B12" s="17"/>
      <c r="C12" s="14"/>
      <c r="D12" s="14"/>
      <c r="E12" s="27"/>
      <c r="F12" s="28"/>
      <c r="G12" s="77"/>
      <c r="H12" s="68"/>
    </row>
    <row r="13" spans="2:14" ht="21.95" customHeight="1" x14ac:dyDescent="0.3">
      <c r="B13" s="44"/>
      <c r="C13" s="45"/>
      <c r="D13" s="45"/>
      <c r="E13" s="46"/>
      <c r="F13" s="47"/>
      <c r="G13" s="76"/>
      <c r="H13" s="68"/>
    </row>
    <row r="14" spans="2:14" ht="21.95" customHeight="1" x14ac:dyDescent="0.3">
      <c r="B14" s="17"/>
      <c r="C14" s="14"/>
      <c r="D14" s="14"/>
      <c r="E14" s="27"/>
      <c r="F14" s="28"/>
      <c r="G14" s="77"/>
      <c r="H14" s="68"/>
    </row>
    <row r="15" spans="2:14" ht="21.95" customHeight="1" x14ac:dyDescent="0.3">
      <c r="B15" s="44"/>
      <c r="C15" s="45"/>
      <c r="D15" s="45"/>
      <c r="E15" s="46"/>
      <c r="F15" s="47"/>
      <c r="G15" s="76"/>
      <c r="H15" s="68"/>
    </row>
    <row r="16" spans="2:14" ht="21.95" customHeight="1" x14ac:dyDescent="0.3">
      <c r="B16" s="17"/>
      <c r="C16" s="14"/>
      <c r="D16" s="14"/>
      <c r="E16" s="27"/>
      <c r="F16" s="28"/>
      <c r="G16" s="77"/>
      <c r="H16" s="68"/>
    </row>
    <row r="17" spans="2:11" ht="21.95" customHeight="1" x14ac:dyDescent="0.3">
      <c r="B17" s="44"/>
      <c r="C17" s="45"/>
      <c r="D17" s="45"/>
      <c r="E17" s="46"/>
      <c r="F17" s="47"/>
      <c r="G17" s="76"/>
      <c r="H17" s="68"/>
    </row>
    <row r="18" spans="2:11" ht="21.95" customHeight="1" x14ac:dyDescent="0.3">
      <c r="B18" s="53"/>
      <c r="C18" s="55"/>
      <c r="D18" s="83"/>
      <c r="E18" s="173" t="s">
        <v>69</v>
      </c>
      <c r="F18" s="174"/>
      <c r="G18" s="78">
        <f>SUM(G8:G17)</f>
        <v>45000</v>
      </c>
      <c r="H18" s="68"/>
    </row>
    <row r="19" spans="2:11" ht="21.95" customHeight="1" x14ac:dyDescent="0.3">
      <c r="B19" s="17"/>
      <c r="C19" s="14"/>
      <c r="D19" s="14"/>
      <c r="E19" s="27"/>
      <c r="F19" s="28"/>
      <c r="G19" s="77"/>
      <c r="H19" s="68"/>
    </row>
    <row r="20" spans="2:11" ht="21.95" customHeight="1" x14ac:dyDescent="0.3">
      <c r="B20" s="48"/>
      <c r="C20" s="49"/>
      <c r="D20" s="49"/>
      <c r="E20" s="50"/>
      <c r="F20" s="51"/>
      <c r="G20" s="79"/>
      <c r="H20" s="68"/>
    </row>
    <row r="21" spans="2:11" ht="21.95" customHeight="1" x14ac:dyDescent="0.3">
      <c r="B21" s="17"/>
      <c r="C21" s="14"/>
      <c r="D21" s="14"/>
      <c r="E21" s="27"/>
      <c r="F21" s="28"/>
      <c r="G21" s="77"/>
      <c r="H21" s="68"/>
    </row>
    <row r="22" spans="2:11" ht="21.95" customHeight="1" x14ac:dyDescent="0.3">
      <c r="B22" s="48"/>
      <c r="C22" s="49"/>
      <c r="D22" s="49"/>
      <c r="E22" s="50"/>
      <c r="F22" s="51"/>
      <c r="G22" s="79"/>
      <c r="H22" s="68"/>
    </row>
    <row r="23" spans="2:11" ht="21.95" customHeight="1" x14ac:dyDescent="0.3">
      <c r="B23" s="17"/>
      <c r="C23" s="14"/>
      <c r="D23" s="24"/>
      <c r="E23" s="27"/>
      <c r="F23" s="28"/>
      <c r="G23" s="77"/>
      <c r="H23" s="68"/>
    </row>
    <row r="24" spans="2:11" s="6" customFormat="1" ht="21.95" customHeight="1" x14ac:dyDescent="0.2">
      <c r="B24" s="48"/>
      <c r="C24" s="49"/>
      <c r="D24" s="49"/>
      <c r="E24" s="50"/>
      <c r="F24" s="51"/>
      <c r="G24" s="79"/>
      <c r="H24" s="68"/>
    </row>
    <row r="25" spans="2:11" ht="21.95" customHeight="1" x14ac:dyDescent="0.3">
      <c r="B25" s="17"/>
      <c r="C25" s="14"/>
      <c r="D25" s="24"/>
      <c r="E25" s="27"/>
      <c r="F25" s="28"/>
      <c r="G25" s="77"/>
      <c r="H25" s="68"/>
      <c r="K25" s="1">
        <v>4</v>
      </c>
    </row>
    <row r="26" spans="2:11" ht="21.95" customHeight="1" x14ac:dyDescent="0.3">
      <c r="B26" s="48"/>
      <c r="C26" s="49"/>
      <c r="D26" s="49"/>
      <c r="E26" s="50"/>
      <c r="F26" s="51"/>
      <c r="G26" s="79"/>
      <c r="H26" s="68"/>
    </row>
    <row r="27" spans="2:11" ht="21.95" customHeight="1" x14ac:dyDescent="0.3">
      <c r="B27" s="53"/>
      <c r="C27" s="55"/>
      <c r="D27" s="83"/>
      <c r="E27" s="54"/>
      <c r="F27" s="55"/>
      <c r="G27" s="78"/>
      <c r="H27" s="68"/>
    </row>
    <row r="28" spans="2:11" ht="21.95" customHeight="1" x14ac:dyDescent="0.3">
      <c r="B28" s="56"/>
      <c r="C28" s="57"/>
      <c r="D28" s="57"/>
      <c r="E28" s="58"/>
      <c r="F28" s="59"/>
      <c r="G28" s="80"/>
      <c r="H28" s="68"/>
    </row>
    <row r="29" spans="2:11" ht="21.95" customHeight="1" x14ac:dyDescent="0.3">
      <c r="B29" s="17"/>
      <c r="C29" s="14"/>
      <c r="D29" s="60"/>
      <c r="E29" s="27"/>
      <c r="F29" s="28"/>
      <c r="G29" s="77"/>
      <c r="H29" s="68"/>
    </row>
    <row r="30" spans="2:11" ht="21.95" customHeight="1" x14ac:dyDescent="0.3">
      <c r="B30" s="56"/>
      <c r="C30" s="57"/>
      <c r="D30" s="57"/>
      <c r="E30" s="58"/>
      <c r="F30" s="59"/>
      <c r="G30" s="80"/>
      <c r="H30" s="68"/>
    </row>
    <row r="31" spans="2:11" ht="21.95" customHeight="1" x14ac:dyDescent="0.3">
      <c r="B31" s="17"/>
      <c r="C31" s="60"/>
      <c r="D31" s="60"/>
      <c r="E31" s="27"/>
      <c r="F31" s="28"/>
      <c r="G31" s="77"/>
      <c r="H31" s="68"/>
    </row>
    <row r="32" spans="2:11" ht="21.95" customHeight="1" x14ac:dyDescent="0.3">
      <c r="B32" s="61"/>
      <c r="C32" s="62"/>
      <c r="D32" s="62"/>
      <c r="E32" s="63"/>
      <c r="F32" s="64"/>
      <c r="G32" s="81"/>
      <c r="H32" s="68"/>
    </row>
    <row r="33" spans="2:8" ht="21.95" customHeight="1" x14ac:dyDescent="0.3">
      <c r="B33" s="53"/>
      <c r="C33" s="55"/>
      <c r="D33" s="83"/>
      <c r="E33" s="54"/>
      <c r="F33" s="55"/>
      <c r="G33" s="78"/>
      <c r="H33" s="68"/>
    </row>
    <row r="34" spans="2:8" ht="21.95" customHeight="1" x14ac:dyDescent="0.3">
      <c r="B34" s="69"/>
      <c r="C34" s="65"/>
      <c r="D34" s="65"/>
      <c r="E34" s="66"/>
      <c r="F34" s="67"/>
      <c r="G34" s="68"/>
      <c r="H34" s="68"/>
    </row>
    <row r="35" spans="2:8" ht="21.95" customHeight="1" x14ac:dyDescent="0.3">
      <c r="B35" s="69"/>
      <c r="C35" s="65"/>
      <c r="D35" s="65"/>
      <c r="E35" s="66"/>
      <c r="F35" s="67"/>
      <c r="G35" s="68"/>
      <c r="H35" s="68"/>
    </row>
    <row r="36" spans="2:8" ht="21.95" customHeight="1" x14ac:dyDescent="0.3">
      <c r="B36" s="69"/>
      <c r="C36" s="65"/>
      <c r="D36" s="70"/>
      <c r="E36" s="66"/>
      <c r="F36" s="67"/>
      <c r="G36" s="68"/>
      <c r="H36" s="68"/>
    </row>
    <row r="37" spans="2:8" ht="21.95" customHeight="1" x14ac:dyDescent="0.3">
      <c r="B37" s="69"/>
      <c r="C37" s="65"/>
      <c r="D37" s="70"/>
      <c r="E37" s="66"/>
      <c r="F37" s="67"/>
      <c r="G37" s="68"/>
      <c r="H37" s="68"/>
    </row>
    <row r="38" spans="2:8" ht="21.95" customHeight="1" x14ac:dyDescent="0.3">
      <c r="B38" s="69"/>
      <c r="C38" s="65"/>
      <c r="D38" s="70"/>
      <c r="E38" s="66"/>
      <c r="F38" s="67"/>
      <c r="G38" s="68"/>
      <c r="H38" s="68"/>
    </row>
    <row r="39" spans="2:8" ht="15" customHeight="1" x14ac:dyDescent="0.3">
      <c r="B39" s="65"/>
      <c r="C39" s="65"/>
      <c r="D39" s="65"/>
      <c r="E39" s="65"/>
      <c r="F39" s="85"/>
      <c r="G39" s="85"/>
      <c r="H39" s="85"/>
    </row>
    <row r="40" spans="2:8" ht="50.1" customHeight="1" x14ac:dyDescent="0.3">
      <c r="B40" s="172"/>
      <c r="C40" s="172"/>
      <c r="D40" s="172"/>
      <c r="E40" s="172"/>
      <c r="F40" s="172"/>
      <c r="G40" s="172"/>
      <c r="H40" s="172"/>
    </row>
    <row r="41" spans="2:8" s="6" customFormat="1" ht="50.1" customHeight="1" x14ac:dyDescent="0.2">
      <c r="B41" s="13"/>
      <c r="C41" s="13"/>
      <c r="D41" s="13"/>
      <c r="E41" s="13"/>
      <c r="F41" s="12"/>
      <c r="G41" s="11"/>
      <c r="H41" s="11"/>
    </row>
    <row r="42" spans="2:8" ht="24.95" customHeight="1" x14ac:dyDescent="0.3">
      <c r="B42" s="13"/>
      <c r="C42" s="13"/>
      <c r="D42" s="13"/>
      <c r="E42" s="13"/>
      <c r="F42" s="12"/>
      <c r="G42" s="11"/>
      <c r="H42" s="11"/>
    </row>
    <row r="43" spans="2:8" ht="24.95" customHeight="1" x14ac:dyDescent="0.3"/>
  </sheetData>
  <mergeCells count="2">
    <mergeCell ref="B40:H40"/>
    <mergeCell ref="E18:F18"/>
  </mergeCells>
  <conditionalFormatting sqref="D27">
    <cfRule type="cellIs" dxfId="3" priority="3" operator="lessThan">
      <formula>0</formula>
    </cfRule>
  </conditionalFormatting>
  <conditionalFormatting sqref="D33">
    <cfRule type="cellIs" dxfId="2" priority="2" operator="lessThan">
      <formula>0</formula>
    </cfRule>
  </conditionalFormatting>
  <conditionalFormatting sqref="G9:H38 D18">
    <cfRule type="cellIs" dxfId="1" priority="4" operator="lessThan">
      <formula>0</formula>
    </cfRule>
  </conditionalFormatting>
  <conditionalFormatting sqref="H4 H6">
    <cfRule type="cellIs" dxfId="0" priority="5" operator="lessThan">
      <formula>0</formula>
    </cfRule>
  </conditionalFormatting>
  <pageMargins left="0.3" right="0.3" top="0.3" bottom="0.3" header="0" footer="0"/>
  <pageSetup scale="77" fitToHeight="0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BDD9-E337-49C6-8EF5-7E1CDDCBFF54}">
  <dimension ref="A1:H33"/>
  <sheetViews>
    <sheetView workbookViewId="0">
      <selection activeCell="J19" sqref="J19"/>
    </sheetView>
  </sheetViews>
  <sheetFormatPr defaultRowHeight="15.75" x14ac:dyDescent="0.25"/>
  <cols>
    <col min="1" max="1" width="3" customWidth="1"/>
    <col min="2" max="2" width="23" customWidth="1"/>
    <col min="3" max="3" width="45.125" customWidth="1"/>
    <col min="4" max="6" width="23" customWidth="1"/>
    <col min="7" max="7" width="16.625" style="149" customWidth="1"/>
  </cols>
  <sheetData>
    <row r="1" spans="1:7" ht="17.25" x14ac:dyDescent="0.3">
      <c r="A1" s="175"/>
      <c r="B1" s="175"/>
      <c r="C1" s="114"/>
      <c r="D1" s="115"/>
      <c r="E1" s="115"/>
      <c r="F1" s="114"/>
      <c r="G1" s="124"/>
    </row>
    <row r="2" spans="1:7" ht="28.5" x14ac:dyDescent="0.25">
      <c r="A2" s="116"/>
      <c r="B2" s="117" t="s">
        <v>115</v>
      </c>
      <c r="C2" s="118"/>
      <c r="D2" s="119"/>
      <c r="E2" s="120"/>
      <c r="F2" s="121"/>
      <c r="G2" s="146"/>
    </row>
    <row r="3" spans="1:7" ht="17.25" x14ac:dyDescent="0.3">
      <c r="A3" s="175"/>
      <c r="B3" s="175"/>
      <c r="C3" s="122" t="s">
        <v>70</v>
      </c>
      <c r="D3" s="115"/>
      <c r="E3" s="115"/>
      <c r="F3" s="123" t="s">
        <v>71</v>
      </c>
      <c r="G3" s="147"/>
    </row>
    <row r="4" spans="1:7" ht="17.25" x14ac:dyDescent="0.3">
      <c r="A4" s="175"/>
      <c r="B4" s="175"/>
      <c r="C4" s="122"/>
      <c r="D4" s="115"/>
      <c r="E4" s="115"/>
      <c r="F4" s="125">
        <f>G18+G24+G33</f>
        <v>672636.19</v>
      </c>
      <c r="G4" s="155">
        <f>F4*43.5%</f>
        <v>292596.74264999997</v>
      </c>
    </row>
    <row r="5" spans="1:7" ht="17.25" x14ac:dyDescent="0.3">
      <c r="A5" s="175"/>
      <c r="B5" s="175"/>
      <c r="C5" s="122"/>
      <c r="D5" s="115"/>
      <c r="E5" s="115"/>
      <c r="F5" s="127" t="s">
        <v>72</v>
      </c>
      <c r="G5" s="124"/>
    </row>
    <row r="6" spans="1:7" ht="17.25" x14ac:dyDescent="0.3">
      <c r="A6" s="114"/>
      <c r="B6" s="128" t="s">
        <v>1</v>
      </c>
      <c r="C6" s="129" t="s">
        <v>84</v>
      </c>
      <c r="D6" s="130"/>
      <c r="E6" s="115"/>
      <c r="F6" s="131"/>
      <c r="G6" s="124"/>
    </row>
    <row r="7" spans="1:7" ht="17.25" x14ac:dyDescent="0.3">
      <c r="A7" s="175"/>
      <c r="B7" s="175"/>
      <c r="C7" s="132"/>
      <c r="D7" s="133"/>
      <c r="E7" s="134"/>
      <c r="F7" s="114"/>
      <c r="G7" s="124"/>
    </row>
    <row r="8" spans="1:7" ht="17.25" x14ac:dyDescent="0.3">
      <c r="A8" s="114"/>
      <c r="B8" s="158" t="s">
        <v>5</v>
      </c>
      <c r="C8" s="158" t="s">
        <v>73</v>
      </c>
      <c r="D8" s="159" t="s">
        <v>7</v>
      </c>
      <c r="E8" s="159" t="s">
        <v>74</v>
      </c>
      <c r="F8" s="159" t="s">
        <v>74</v>
      </c>
      <c r="G8" s="146"/>
    </row>
    <row r="9" spans="1:7" ht="17.25" x14ac:dyDescent="0.3">
      <c r="A9" s="114"/>
      <c r="B9" s="135" t="s">
        <v>75</v>
      </c>
      <c r="C9" s="135" t="s">
        <v>76</v>
      </c>
      <c r="D9" s="136">
        <v>15000</v>
      </c>
      <c r="E9" s="137">
        <v>3.83</v>
      </c>
      <c r="F9" s="138">
        <v>57450</v>
      </c>
      <c r="G9" s="147"/>
    </row>
    <row r="10" spans="1:7" ht="17.25" x14ac:dyDescent="0.3">
      <c r="A10" s="114"/>
      <c r="B10" s="139"/>
      <c r="C10" s="139" t="s">
        <v>77</v>
      </c>
      <c r="D10" s="140">
        <v>15000</v>
      </c>
      <c r="E10" s="141">
        <v>3.58</v>
      </c>
      <c r="F10" s="142">
        <v>53700</v>
      </c>
      <c r="G10" s="124"/>
    </row>
    <row r="11" spans="1:7" ht="17.25" x14ac:dyDescent="0.3">
      <c r="A11" s="114"/>
      <c r="B11" s="135"/>
      <c r="C11" s="135" t="s">
        <v>78</v>
      </c>
      <c r="D11" s="136">
        <v>15000</v>
      </c>
      <c r="E11" s="137">
        <v>4.75</v>
      </c>
      <c r="F11" s="138">
        <v>71250</v>
      </c>
      <c r="G11" s="124"/>
    </row>
    <row r="12" spans="1:7" ht="17.25" x14ac:dyDescent="0.3">
      <c r="A12" s="114"/>
      <c r="B12" s="160"/>
      <c r="C12" s="161"/>
      <c r="D12" s="162"/>
      <c r="E12" s="163" t="s">
        <v>13</v>
      </c>
      <c r="F12" s="164">
        <v>182400</v>
      </c>
      <c r="G12" s="124"/>
    </row>
    <row r="13" spans="1:7" ht="17.25" x14ac:dyDescent="0.3">
      <c r="A13" s="175"/>
      <c r="B13" s="175"/>
      <c r="C13" s="114"/>
      <c r="D13" s="115"/>
      <c r="E13" s="115"/>
      <c r="F13" s="114"/>
      <c r="G13" s="146"/>
    </row>
    <row r="14" spans="1:7" ht="17.25" x14ac:dyDescent="0.3">
      <c r="A14" s="114"/>
      <c r="B14" s="158" t="s">
        <v>5</v>
      </c>
      <c r="C14" s="158" t="s">
        <v>79</v>
      </c>
      <c r="D14" s="159" t="s">
        <v>7</v>
      </c>
      <c r="E14" s="159" t="s">
        <v>74</v>
      </c>
      <c r="F14" s="159" t="s">
        <v>80</v>
      </c>
      <c r="G14" s="147"/>
    </row>
    <row r="15" spans="1:7" ht="17.25" x14ac:dyDescent="0.3">
      <c r="A15" s="114"/>
      <c r="B15" s="135" t="s">
        <v>75</v>
      </c>
      <c r="C15" s="135" t="s">
        <v>81</v>
      </c>
      <c r="D15" s="136">
        <v>400</v>
      </c>
      <c r="E15" s="137">
        <v>151.66999999999999</v>
      </c>
      <c r="F15" s="138">
        <v>60668</v>
      </c>
      <c r="G15" s="124"/>
    </row>
    <row r="16" spans="1:7" ht="17.25" x14ac:dyDescent="0.3">
      <c r="A16" s="114"/>
      <c r="B16" s="139"/>
      <c r="C16" s="139" t="s">
        <v>82</v>
      </c>
      <c r="D16" s="140">
        <v>400</v>
      </c>
      <c r="E16" s="143">
        <v>160.82</v>
      </c>
      <c r="F16" s="144">
        <v>64328</v>
      </c>
      <c r="G16" s="124"/>
    </row>
    <row r="17" spans="1:8" ht="17.25" x14ac:dyDescent="0.3">
      <c r="A17" s="114"/>
      <c r="B17" s="135"/>
      <c r="C17" s="135" t="s">
        <v>83</v>
      </c>
      <c r="D17" s="136">
        <v>400</v>
      </c>
      <c r="E17" s="137">
        <v>176.67</v>
      </c>
      <c r="F17" s="138">
        <v>70668</v>
      </c>
      <c r="G17" s="124"/>
    </row>
    <row r="18" spans="1:8" ht="17.25" x14ac:dyDescent="0.3">
      <c r="A18" s="114"/>
      <c r="B18" s="160"/>
      <c r="C18" s="161"/>
      <c r="D18" s="162"/>
      <c r="E18" s="163" t="s">
        <v>13</v>
      </c>
      <c r="F18" s="164">
        <v>195664</v>
      </c>
      <c r="G18" s="148">
        <v>378064</v>
      </c>
    </row>
    <row r="20" spans="1:8" x14ac:dyDescent="0.25">
      <c r="B20" s="158" t="s">
        <v>5</v>
      </c>
      <c r="C20" s="158" t="s">
        <v>79</v>
      </c>
      <c r="D20" s="159" t="s">
        <v>7</v>
      </c>
      <c r="E20" s="159" t="s">
        <v>74</v>
      </c>
      <c r="F20" s="159" t="s">
        <v>80</v>
      </c>
      <c r="G20" s="152"/>
      <c r="H20" s="153"/>
    </row>
    <row r="21" spans="1:8" ht="17.25" x14ac:dyDescent="0.3">
      <c r="B21" s="135" t="s">
        <v>75</v>
      </c>
      <c r="C21" s="135" t="s">
        <v>85</v>
      </c>
      <c r="D21" s="136">
        <v>400</v>
      </c>
      <c r="E21" s="150">
        <v>161.25</v>
      </c>
      <c r="F21" s="150">
        <v>64500</v>
      </c>
      <c r="G21" s="154"/>
      <c r="H21" s="114"/>
    </row>
    <row r="22" spans="1:8" ht="17.25" x14ac:dyDescent="0.3">
      <c r="B22" s="139"/>
      <c r="C22" s="139" t="s">
        <v>86</v>
      </c>
      <c r="D22" s="140">
        <v>400</v>
      </c>
      <c r="E22" s="151">
        <v>180</v>
      </c>
      <c r="F22" s="144">
        <v>72000</v>
      </c>
      <c r="G22" s="114"/>
      <c r="H22" s="114"/>
    </row>
    <row r="23" spans="1:8" ht="17.25" x14ac:dyDescent="0.3">
      <c r="B23" s="135"/>
      <c r="C23" s="135" t="s">
        <v>87</v>
      </c>
      <c r="D23" s="136">
        <v>400</v>
      </c>
      <c r="E23" s="150">
        <v>200</v>
      </c>
      <c r="F23" s="150">
        <v>80000</v>
      </c>
      <c r="G23" s="154"/>
      <c r="H23" s="114"/>
    </row>
    <row r="24" spans="1:8" ht="17.25" x14ac:dyDescent="0.3">
      <c r="B24" s="160"/>
      <c r="C24" s="161"/>
      <c r="D24" s="162"/>
      <c r="E24" s="165" t="s">
        <v>13</v>
      </c>
      <c r="F24" s="164">
        <v>216500</v>
      </c>
      <c r="G24" s="148">
        <f>F24</f>
        <v>216500</v>
      </c>
      <c r="H24" s="126"/>
    </row>
    <row r="26" spans="1:8" ht="16.5" x14ac:dyDescent="0.25">
      <c r="B26" s="158" t="s">
        <v>5</v>
      </c>
      <c r="C26" s="158" t="s">
        <v>88</v>
      </c>
      <c r="D26" s="159" t="s">
        <v>7</v>
      </c>
      <c r="E26" s="159" t="s">
        <v>74</v>
      </c>
      <c r="F26" s="159" t="s">
        <v>80</v>
      </c>
      <c r="G26" s="145"/>
      <c r="H26" s="121"/>
    </row>
    <row r="27" spans="1:8" ht="27" x14ac:dyDescent="0.25">
      <c r="B27" s="135"/>
      <c r="C27" s="135" t="s">
        <v>89</v>
      </c>
      <c r="D27" s="136">
        <v>2</v>
      </c>
      <c r="E27" s="137">
        <v>18014.98</v>
      </c>
      <c r="F27" s="150">
        <v>36029.96</v>
      </c>
      <c r="G27" s="145"/>
      <c r="H27" s="121"/>
    </row>
    <row r="28" spans="1:8" ht="40.5" x14ac:dyDescent="0.25">
      <c r="B28" s="139"/>
      <c r="C28" s="139" t="s">
        <v>90</v>
      </c>
      <c r="D28" s="140">
        <v>2</v>
      </c>
      <c r="E28" s="143">
        <v>3567.63</v>
      </c>
      <c r="F28" s="151">
        <v>7135.26</v>
      </c>
      <c r="G28" s="145"/>
      <c r="H28" s="121"/>
    </row>
    <row r="29" spans="1:8" ht="40.5" x14ac:dyDescent="0.25">
      <c r="B29" s="135"/>
      <c r="C29" s="135" t="s">
        <v>91</v>
      </c>
      <c r="D29" s="136">
        <v>2</v>
      </c>
      <c r="E29" s="137">
        <v>461.66</v>
      </c>
      <c r="F29" s="150">
        <v>923.32</v>
      </c>
      <c r="G29" s="145"/>
      <c r="H29" s="121"/>
    </row>
    <row r="30" spans="1:8" ht="40.5" x14ac:dyDescent="0.25">
      <c r="B30" s="139"/>
      <c r="C30" s="139" t="s">
        <v>92</v>
      </c>
      <c r="D30" s="140">
        <v>1</v>
      </c>
      <c r="E30" s="143">
        <v>5361.91</v>
      </c>
      <c r="F30" s="151">
        <v>5361.91</v>
      </c>
      <c r="G30" s="145"/>
      <c r="H30" s="121"/>
    </row>
    <row r="31" spans="1:8" ht="40.5" x14ac:dyDescent="0.25">
      <c r="B31" s="135"/>
      <c r="C31" s="135" t="s">
        <v>93</v>
      </c>
      <c r="D31" s="136">
        <v>3</v>
      </c>
      <c r="E31" s="137">
        <v>8070.58</v>
      </c>
      <c r="F31" s="150">
        <v>24211.74</v>
      </c>
      <c r="G31" s="145"/>
      <c r="H31" s="121"/>
    </row>
    <row r="32" spans="1:8" ht="27" x14ac:dyDescent="0.3">
      <c r="B32" s="139"/>
      <c r="C32" s="139" t="s">
        <v>94</v>
      </c>
      <c r="D32" s="140">
        <v>200</v>
      </c>
      <c r="E32" s="143">
        <v>22.05</v>
      </c>
      <c r="F32" s="151">
        <v>4410</v>
      </c>
      <c r="G32" s="154"/>
      <c r="H32" s="114"/>
    </row>
    <row r="33" spans="2:8" ht="17.25" x14ac:dyDescent="0.3">
      <c r="B33" s="160"/>
      <c r="C33" s="161"/>
      <c r="D33" s="162"/>
      <c r="E33" s="165" t="s">
        <v>13</v>
      </c>
      <c r="F33" s="164">
        <v>78072.19</v>
      </c>
      <c r="G33" s="148">
        <f>F33</f>
        <v>78072.19</v>
      </c>
      <c r="H33" s="126"/>
    </row>
  </sheetData>
  <mergeCells count="6">
    <mergeCell ref="A13:B13"/>
    <mergeCell ref="A5:B5"/>
    <mergeCell ref="A7:B7"/>
    <mergeCell ref="A1:B1"/>
    <mergeCell ref="A3:B3"/>
    <mergeCell ref="A4:B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d8304c-c3ca-4b02-90c5-150bf0a1933a" xsi:nil="true"/>
    <lcf76f155ced4ddcb4097134ff3c332f xmlns="5d99bed0-374c-468a-a822-10db8e52b63e">
      <Terms xmlns="http://schemas.microsoft.com/office/infopath/2007/PartnerControls"/>
    </lcf76f155ced4ddcb4097134ff3c332f>
    <SharedWithUsers xmlns="ccd8304c-c3ca-4b02-90c5-150bf0a1933a">
      <UserInfo>
        <DisplayName>Jeff Hall</DisplayName>
        <AccountId>9</AccountId>
        <AccountType/>
      </UserInfo>
      <UserInfo>
        <DisplayName>Ian LeGarth</DisplayName>
        <AccountId>17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6D35D753595A42B1D77F7B08CBED60" ma:contentTypeVersion="14" ma:contentTypeDescription="Create a new document." ma:contentTypeScope="" ma:versionID="d083052e41a2327cf40e965d149a02da">
  <xsd:schema xmlns:xsd="http://www.w3.org/2001/XMLSchema" xmlns:xs="http://www.w3.org/2001/XMLSchema" xmlns:p="http://schemas.microsoft.com/office/2006/metadata/properties" xmlns:ns2="5d99bed0-374c-468a-a822-10db8e52b63e" xmlns:ns3="ccd8304c-c3ca-4b02-90c5-150bf0a1933a" targetNamespace="http://schemas.microsoft.com/office/2006/metadata/properties" ma:root="true" ma:fieldsID="4bab05c80ed2782c5864699e499ab8ce" ns2:_="" ns3:_="">
    <xsd:import namespace="5d99bed0-374c-468a-a822-10db8e52b63e"/>
    <xsd:import namespace="ccd8304c-c3ca-4b02-90c5-150bf0a193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9bed0-374c-468a-a822-10db8e52b6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8689ec-83fc-44f4-b019-d872adc016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8304c-c3ca-4b02-90c5-150bf0a193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646c0f-a2f7-4da4-8444-8dc2976e3773}" ma:internalName="TaxCatchAll" ma:showField="CatchAllData" ma:web="ccd8304c-c3ca-4b02-90c5-150bf0a193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556026-AA24-40A7-92B0-2EF2A29710C1}">
  <ds:schemaRefs>
    <ds:schemaRef ds:uri="http://schemas.microsoft.com/office/2006/metadata/properties"/>
    <ds:schemaRef ds:uri="http://schemas.microsoft.com/office/infopath/2007/PartnerControls"/>
    <ds:schemaRef ds:uri="ccd8304c-c3ca-4b02-90c5-150bf0a1933a"/>
    <ds:schemaRef ds:uri="5d99bed0-374c-468a-a822-10db8e52b63e"/>
  </ds:schemaRefs>
</ds:datastoreItem>
</file>

<file path=customXml/itemProps2.xml><?xml version="1.0" encoding="utf-8"?>
<ds:datastoreItem xmlns:ds="http://schemas.openxmlformats.org/officeDocument/2006/customXml" ds:itemID="{2CEA8008-2345-420B-8FCB-BADD9A6C02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10E4C1-144D-44BD-BD35-8F577E117A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99bed0-374c-468a-a822-10db8e52b63e"/>
    <ds:schemaRef ds:uri="ccd8304c-c3ca-4b02-90c5-150bf0a193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R&amp;D HL FY22 Ledger</vt:lpstr>
      <vt:lpstr>R&amp;D Detailed (Prod) FY24 Ledger</vt:lpstr>
      <vt:lpstr>R&amp;D Detailed (Batt) FY24 Ledger</vt:lpstr>
      <vt:lpstr>R&amp;D IP Co Batteries FY23 Ledger</vt:lpstr>
      <vt:lpstr>'R&amp;D Detailed (Batt) FY24 Ledger'!Print_Area</vt:lpstr>
      <vt:lpstr>'R&amp;D Detailed (Prod) FY24 Ledger'!Print_Area</vt:lpstr>
      <vt:lpstr>'R&amp;D HL FY22 Ledger'!Print_Area</vt:lpstr>
      <vt:lpstr>'R&amp;D Detailed (Batt) FY24 Ledger'!STARTING_BALANCE</vt:lpstr>
      <vt:lpstr>'R&amp;D HL FY22 Ledger'!STARTING_BALANCE</vt:lpstr>
      <vt:lpstr>STARTING_BALANCE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Chris Weatherall</cp:lastModifiedBy>
  <cp:revision/>
  <dcterms:created xsi:type="dcterms:W3CDTF">2016-06-18T21:51:36Z</dcterms:created>
  <dcterms:modified xsi:type="dcterms:W3CDTF">2025-09-24T01:16:07Z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0x010100326D35D753595A42B1D77F7B08CBED60</vt:lpwstr>
  </property>
  <property fmtid="{D5CDD505-2E9C-101B-9397-08002B2CF9AE}" pid="3" name="MediaServiceImageTags">
    <vt:lpwstr/>
  </property>
</Properties>
</file>